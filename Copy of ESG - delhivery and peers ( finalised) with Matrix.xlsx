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b402ef63af3ebace/Desktop/CFA_ERC/DELHIVERY/"/>
    </mc:Choice>
  </mc:AlternateContent>
  <bookViews>
    <workbookView xWindow="0" yWindow="0" windowWidth="19200" windowHeight="7095" firstSheet="2" activeTab="6"/>
  </bookViews>
  <sheets>
    <sheet name=" Bluedart " sheetId="1" r:id="rId1"/>
    <sheet name=" VRL " sheetId="2" r:id="rId2"/>
    <sheet name=" Allcargo Gati" sheetId="3" r:id="rId3"/>
    <sheet name=" DEL -SOCIAL " sheetId="4" r:id="rId4"/>
    <sheet name=" DEL- GOV" sheetId="5" r:id="rId5"/>
    <sheet name=" DEL- ENVI" sheetId="6" r:id="rId6"/>
    <sheet name=" compiled " sheetId="7" r:id="rId7"/>
    <sheet name="Sheet1" sheetId="8" r:id="rId8"/>
    <sheet name="Sheet2" sheetId="9" r:id="rId9"/>
    <sheet name="Sheet3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0" l="1"/>
  <c r="P27" i="7"/>
  <c r="O27" i="7"/>
  <c r="N27" i="7"/>
  <c r="K20" i="9"/>
  <c r="J20" i="9"/>
  <c r="I20" i="9"/>
  <c r="P19" i="7"/>
  <c r="O19" i="7"/>
  <c r="N19" i="7"/>
  <c r="P11" i="7"/>
  <c r="O11" i="7"/>
  <c r="N11" i="7"/>
  <c r="P3" i="7"/>
  <c r="O3" i="7"/>
  <c r="N3" i="7"/>
  <c r="K19" i="9"/>
  <c r="J19" i="9"/>
  <c r="I19" i="9"/>
  <c r="I19" i="10"/>
  <c r="I18" i="10"/>
  <c r="H18" i="10"/>
  <c r="I17" i="10"/>
  <c r="I16" i="10"/>
  <c r="H16" i="10"/>
  <c r="G13" i="10"/>
  <c r="K11" i="10"/>
  <c r="J11" i="10"/>
  <c r="I11" i="10"/>
  <c r="L11" i="10" s="1"/>
  <c r="K10" i="10"/>
  <c r="J10" i="10"/>
  <c r="I10" i="10"/>
  <c r="L10" i="10" s="1"/>
  <c r="K9" i="10"/>
  <c r="J9" i="10"/>
  <c r="I9" i="10"/>
  <c r="L9" i="10" s="1"/>
  <c r="K8" i="10"/>
  <c r="J18" i="10" s="1"/>
  <c r="J8" i="10"/>
  <c r="J17" i="10" s="1"/>
  <c r="I8" i="10"/>
  <c r="J16" i="10" s="1"/>
  <c r="L9" i="9"/>
  <c r="L8" i="9"/>
  <c r="L7" i="9"/>
  <c r="K9" i="9"/>
  <c r="K8" i="9"/>
  <c r="K7" i="9"/>
  <c r="J9" i="9"/>
  <c r="J8" i="9"/>
  <c r="J7" i="9"/>
  <c r="L3" i="9"/>
  <c r="L4" i="9"/>
  <c r="L2" i="9"/>
  <c r="K4" i="9"/>
  <c r="K3" i="9"/>
  <c r="K2" i="9"/>
  <c r="J4" i="9"/>
  <c r="J3" i="9"/>
  <c r="J2" i="9"/>
  <c r="E19" i="9"/>
  <c r="E18" i="9"/>
  <c r="E17" i="9"/>
  <c r="D19" i="9"/>
  <c r="D18" i="9"/>
  <c r="D17" i="9"/>
  <c r="C19" i="9"/>
  <c r="C18" i="9"/>
  <c r="C17" i="9"/>
  <c r="E14" i="9"/>
  <c r="E15" i="9" s="1"/>
  <c r="E13" i="9"/>
  <c r="E12" i="9"/>
  <c r="D14" i="9"/>
  <c r="D13" i="9"/>
  <c r="D12" i="9"/>
  <c r="C14" i="9"/>
  <c r="C13" i="9"/>
  <c r="C12" i="9"/>
  <c r="E9" i="9"/>
  <c r="F9" i="9" s="1"/>
  <c r="E8" i="9"/>
  <c r="F8" i="9" s="1"/>
  <c r="E7" i="9"/>
  <c r="D9" i="9"/>
  <c r="D8" i="9"/>
  <c r="D7" i="9"/>
  <c r="C9" i="9"/>
  <c r="C8" i="9"/>
  <c r="C7" i="9"/>
  <c r="I17" i="9"/>
  <c r="I16" i="9"/>
  <c r="E4" i="9"/>
  <c r="E3" i="9"/>
  <c r="E2" i="9"/>
  <c r="D4" i="9"/>
  <c r="D3" i="9"/>
  <c r="D2" i="9"/>
  <c r="C4" i="9"/>
  <c r="C3" i="9"/>
  <c r="C2" i="9"/>
  <c r="L10" i="9"/>
  <c r="L5" i="9"/>
  <c r="E20" i="9"/>
  <c r="E10" i="9"/>
  <c r="E5" i="9"/>
  <c r="F18" i="9"/>
  <c r="F17" i="9"/>
  <c r="F7" i="9"/>
  <c r="L8" i="10" l="1"/>
  <c r="J19" i="10" s="1"/>
  <c r="I13" i="9"/>
  <c r="F19" i="9"/>
  <c r="I12" i="9"/>
  <c r="J16" i="9"/>
  <c r="E45" i="7"/>
  <c r="C45" i="7"/>
  <c r="D44" i="7"/>
  <c r="C44" i="7"/>
  <c r="E43" i="7"/>
  <c r="D43" i="7"/>
  <c r="C43" i="7"/>
  <c r="E42" i="7"/>
  <c r="C42" i="7"/>
  <c r="AF34" i="7"/>
  <c r="AF17" i="7"/>
  <c r="AF9" i="7"/>
  <c r="T25" i="7"/>
  <c r="T17" i="7"/>
  <c r="K34" i="7"/>
  <c r="J34" i="7"/>
  <c r="K25" i="7"/>
  <c r="J25" i="7"/>
  <c r="K18" i="7"/>
  <c r="K10" i="7"/>
  <c r="J10" i="7"/>
  <c r="J18" i="7"/>
  <c r="K17" i="7"/>
  <c r="AD26" i="7"/>
  <c r="S25" i="7"/>
  <c r="R25" i="7"/>
  <c r="AE17" i="7"/>
  <c r="S17" i="7"/>
  <c r="AE9" i="7"/>
  <c r="AE33" i="7"/>
  <c r="AE34" i="7"/>
  <c r="I34" i="7"/>
  <c r="R9" i="7"/>
  <c r="S27" i="7" l="1"/>
  <c r="S19" i="7"/>
  <c r="T11" i="7"/>
  <c r="S12" i="7"/>
  <c r="T12" i="7" s="1"/>
  <c r="S13" i="7"/>
  <c r="S14" i="7"/>
  <c r="T14" i="7" s="1"/>
  <c r="S15" i="7"/>
  <c r="S16" i="7"/>
  <c r="T16" i="7" s="1"/>
  <c r="S11" i="7"/>
  <c r="S4" i="7"/>
  <c r="S5" i="7"/>
  <c r="S6" i="7"/>
  <c r="S7" i="7"/>
  <c r="S8" i="7"/>
  <c r="S3" i="7"/>
  <c r="G12" i="8"/>
  <c r="G11" i="8"/>
  <c r="G10" i="8"/>
  <c r="G9" i="8"/>
  <c r="B45" i="7"/>
  <c r="B44" i="7"/>
  <c r="B43" i="7"/>
  <c r="B42" i="7"/>
  <c r="AF33" i="7"/>
  <c r="AF21" i="7"/>
  <c r="AF22" i="7"/>
  <c r="AF23" i="7"/>
  <c r="AF24" i="7"/>
  <c r="AF12" i="7"/>
  <c r="AF13" i="7"/>
  <c r="AF14" i="7"/>
  <c r="AF15" i="7"/>
  <c r="AF16" i="7"/>
  <c r="AF7" i="7"/>
  <c r="AE3" i="7"/>
  <c r="AF3" i="7" s="1"/>
  <c r="AE29" i="7"/>
  <c r="AF29" i="7" s="1"/>
  <c r="AE30" i="7"/>
  <c r="AF30" i="7" s="1"/>
  <c r="AE31" i="7"/>
  <c r="AF31" i="7" s="1"/>
  <c r="AE32" i="7"/>
  <c r="AF32" i="7" s="1"/>
  <c r="AE28" i="7"/>
  <c r="AF28" i="7" s="1"/>
  <c r="AE21" i="7"/>
  <c r="AE22" i="7"/>
  <c r="AE23" i="7"/>
  <c r="AE24" i="7"/>
  <c r="AE25" i="7"/>
  <c r="AF25" i="7" s="1"/>
  <c r="AE20" i="7"/>
  <c r="AE26" i="7" s="1"/>
  <c r="AF26" i="7" s="1"/>
  <c r="E44" i="7" s="1"/>
  <c r="AE12" i="7"/>
  <c r="AE13" i="7"/>
  <c r="AE14" i="7"/>
  <c r="AE15" i="7"/>
  <c r="AE16" i="7"/>
  <c r="AE11" i="7"/>
  <c r="AD9" i="7"/>
  <c r="AE4" i="7"/>
  <c r="AF4" i="7" s="1"/>
  <c r="AE5" i="7"/>
  <c r="AF5" i="7" s="1"/>
  <c r="AE6" i="7"/>
  <c r="AF6" i="7" s="1"/>
  <c r="AE7" i="7"/>
  <c r="AE8" i="7"/>
  <c r="AF8" i="7" s="1"/>
  <c r="T28" i="7"/>
  <c r="S28" i="7"/>
  <c r="S29" i="7"/>
  <c r="T29" i="7" s="1"/>
  <c r="S30" i="7"/>
  <c r="T30" i="7" s="1"/>
  <c r="S31" i="7"/>
  <c r="T31" i="7" s="1"/>
  <c r="S32" i="7"/>
  <c r="T32" i="7" s="1"/>
  <c r="T20" i="7"/>
  <c r="T21" i="7"/>
  <c r="S20" i="7"/>
  <c r="S21" i="7"/>
  <c r="S22" i="7"/>
  <c r="T22" i="7" s="1"/>
  <c r="S23" i="7"/>
  <c r="T23" i="7" s="1"/>
  <c r="S24" i="7"/>
  <c r="T24" i="7" s="1"/>
  <c r="T19" i="7"/>
  <c r="T4" i="7"/>
  <c r="T5" i="7"/>
  <c r="T6" i="7"/>
  <c r="T7" i="7"/>
  <c r="T8" i="7"/>
  <c r="K28" i="7"/>
  <c r="K29" i="7"/>
  <c r="K30" i="7"/>
  <c r="K31" i="7"/>
  <c r="K32" i="7"/>
  <c r="K33" i="7"/>
  <c r="K27" i="7"/>
  <c r="K20" i="7"/>
  <c r="K21" i="7"/>
  <c r="K22" i="7"/>
  <c r="K23" i="7"/>
  <c r="K24" i="7"/>
  <c r="K19" i="7"/>
  <c r="K12" i="7"/>
  <c r="K13" i="7"/>
  <c r="K14" i="7"/>
  <c r="K15" i="7"/>
  <c r="K16" i="7"/>
  <c r="K11" i="7"/>
  <c r="K4" i="7"/>
  <c r="K5" i="7"/>
  <c r="K6" i="7"/>
  <c r="K7" i="7"/>
  <c r="K8" i="7"/>
  <c r="K9" i="7"/>
  <c r="K3" i="7"/>
  <c r="T13" i="7"/>
  <c r="T15" i="7"/>
  <c r="J4" i="7"/>
  <c r="J28" i="7"/>
  <c r="J29" i="7"/>
  <c r="J30" i="7"/>
  <c r="J31" i="7"/>
  <c r="J32" i="7"/>
  <c r="J33" i="7"/>
  <c r="J27" i="7"/>
  <c r="J20" i="7"/>
  <c r="J21" i="7"/>
  <c r="J22" i="7"/>
  <c r="J23" i="7"/>
  <c r="J24" i="7"/>
  <c r="J19" i="7"/>
  <c r="J12" i="7"/>
  <c r="J13" i="7"/>
  <c r="J14" i="7"/>
  <c r="J15" i="7"/>
  <c r="J16" i="7"/>
  <c r="J17" i="7"/>
  <c r="J11" i="7"/>
  <c r="J5" i="7"/>
  <c r="J6" i="7"/>
  <c r="J7" i="7"/>
  <c r="J8" i="7"/>
  <c r="J9" i="7"/>
  <c r="J3" i="7"/>
  <c r="G8" i="8"/>
  <c r="G7" i="8"/>
  <c r="C5" i="8"/>
  <c r="AF20" i="7" l="1"/>
  <c r="T27" i="7"/>
  <c r="S33" i="7"/>
  <c r="T33" i="7" s="1"/>
  <c r="D45" i="7" s="1"/>
  <c r="T3" i="7"/>
  <c r="S9" i="7"/>
  <c r="T9" i="7" s="1"/>
  <c r="D42" i="7" s="1"/>
  <c r="F42" i="7"/>
  <c r="AF11" i="7"/>
  <c r="F45" i="7"/>
  <c r="F43" i="7" l="1"/>
  <c r="F44" i="7"/>
  <c r="R33" i="7" l="1"/>
  <c r="R17" i="7"/>
  <c r="Q33" i="7"/>
  <c r="AD34" i="7"/>
  <c r="AD17" i="7"/>
  <c r="AC9" i="7"/>
  <c r="I18" i="7"/>
  <c r="I10" i="7"/>
  <c r="F28" i="7"/>
  <c r="F29" i="7"/>
  <c r="F30" i="7"/>
  <c r="F31" i="7"/>
  <c r="F32" i="7"/>
  <c r="F33" i="7"/>
  <c r="F27" i="7"/>
  <c r="L2" i="3"/>
  <c r="K2" i="3"/>
  <c r="J3" i="2"/>
  <c r="I3" i="2"/>
  <c r="H3" i="2"/>
  <c r="J2" i="2"/>
  <c r="I2" i="2"/>
  <c r="H2" i="2"/>
  <c r="L2" i="1"/>
  <c r="K3" i="1"/>
  <c r="L3" i="1" s="1"/>
  <c r="K4" i="1"/>
  <c r="L4" i="1" s="1"/>
  <c r="K2" i="1"/>
  <c r="F20" i="7"/>
  <c r="F21" i="7"/>
  <c r="F22" i="7"/>
  <c r="F23" i="7"/>
  <c r="F19" i="7"/>
  <c r="F17" i="7"/>
  <c r="F16" i="7"/>
  <c r="F15" i="7"/>
  <c r="F14" i="7"/>
  <c r="F13" i="7"/>
  <c r="F12" i="7"/>
  <c r="F11" i="7"/>
  <c r="F9" i="7"/>
  <c r="F8" i="7"/>
  <c r="F7" i="7"/>
  <c r="F6" i="7"/>
  <c r="F5" i="7"/>
  <c r="F4" i="7"/>
  <c r="F3" i="7"/>
  <c r="G9" i="3"/>
  <c r="E4" i="6"/>
  <c r="E3" i="6"/>
  <c r="E5" i="6"/>
  <c r="E6" i="6"/>
  <c r="E7" i="6"/>
  <c r="E8" i="6"/>
  <c r="E10" i="6"/>
  <c r="E11" i="6"/>
  <c r="E12" i="6"/>
  <c r="E13" i="6"/>
  <c r="E14" i="6"/>
  <c r="E2" i="6"/>
  <c r="G3" i="3"/>
  <c r="G4" i="3"/>
  <c r="G5" i="3"/>
  <c r="G6" i="3"/>
  <c r="G7" i="3"/>
  <c r="G8" i="3"/>
  <c r="G10" i="3"/>
  <c r="G11" i="3"/>
  <c r="G12" i="3"/>
  <c r="G13" i="3"/>
  <c r="G14" i="3"/>
  <c r="G15" i="3"/>
  <c r="G16" i="3"/>
  <c r="G17" i="3"/>
  <c r="G18" i="3"/>
  <c r="G19" i="3"/>
  <c r="G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</calcChain>
</file>

<file path=xl/sharedStrings.xml><?xml version="1.0" encoding="utf-8"?>
<sst xmlns="http://schemas.openxmlformats.org/spreadsheetml/2006/main" count="619" uniqueCount="321">
  <si>
    <t>Category</t>
  </si>
  <si>
    <t>Parameter</t>
  </si>
  <si>
    <t>FY 2022-23</t>
  </si>
  <si>
    <t>FY 2023-24</t>
  </si>
  <si>
    <t>FY 2024-25</t>
  </si>
  <si>
    <t>Environmental</t>
  </si>
  <si>
    <t>Total Energy Consumption (MJ)</t>
  </si>
  <si>
    <t>Renewable Energy Consumption (MJ)</t>
  </si>
  <si>
    <t>Non-renewable Energy Consumption (MJ)</t>
  </si>
  <si>
    <t>Greenhouse Gas Emissions Scope 1 (MT CO2e)</t>
  </si>
  <si>
    <t>Greenhouse Gas Emissions Scope 2 (MT CO2e)</t>
  </si>
  <si>
    <t>Greenhouse Gas Emissions Scope 3 (MT CO2e)</t>
  </si>
  <si>
    <t>Water Withdrawal (kL)</t>
  </si>
  <si>
    <t>Waste Generated (Metric Tonnes)</t>
  </si>
  <si>
    <t>E-waste Generated (Metric Tonnes)</t>
  </si>
  <si>
    <t xml:space="preserve">total </t>
  </si>
  <si>
    <t>Social</t>
  </si>
  <si>
    <t>Total Employees</t>
  </si>
  <si>
    <t>Permanent Male Employees</t>
  </si>
  <si>
    <t>Permanent Female Employees</t>
  </si>
  <si>
    <t>Customer Complaints (Ratio)</t>
  </si>
  <si>
    <t>Lost Time Injury Frequency Rate (Employees)</t>
  </si>
  <si>
    <t>Not available</t>
  </si>
  <si>
    <t>Sexual Harassment Complaints Filed</t>
  </si>
  <si>
    <t>Governance</t>
  </si>
  <si>
    <t>Board Diversity (% Women on Board)</t>
  </si>
  <si>
    <t>Anti-Corruption Policy</t>
  </si>
  <si>
    <t>Yes</t>
  </si>
  <si>
    <t>ISO Certifications</t>
  </si>
  <si>
    <t>ISO 9001, ISO 14001</t>
  </si>
  <si>
    <t>ISO 9001, ISO 14001, ISO 27001 (planned)</t>
  </si>
  <si>
    <t>Sustainability Committee</t>
  </si>
  <si>
    <t>Customer Complaint System (CARESS)</t>
  </si>
  <si>
    <t>Active</t>
  </si>
  <si>
    <t xml:space="preserve">average </t>
  </si>
  <si>
    <t>Total Energy Consumption (GJ)</t>
  </si>
  <si>
    <t>Renewable Energy Consumption (GJ)</t>
  </si>
  <si>
    <t>Non-renewable Energy Consumption (GJ)</t>
  </si>
  <si>
    <t>GHG Emissions Scope 1 (MT CO2e)</t>
  </si>
  <si>
    <t>GHG Emissions Scope 2 (MT CO2e)</t>
  </si>
  <si>
    <t>GHG Emissions Scope 3 (MT CO2e)</t>
  </si>
  <si>
    <t>Battery Waste (Metric Tonnes)</t>
  </si>
  <si>
    <t>Other Hazardous Waste (Metric Tonnes)</t>
  </si>
  <si>
    <t>Customer Complaints (Number)</t>
  </si>
  <si>
    <t>Lost Time Injury Frequency Rate (LTIFR)</t>
  </si>
  <si>
    <t>Not reported</t>
  </si>
  <si>
    <t>Total Recordable Work-related Injuries</t>
  </si>
  <si>
    <t>Employee Fatalities</t>
  </si>
  <si>
    <t>Occupational Health &amp; Safety System</t>
  </si>
  <si>
    <t>ISO 9001, ISO 14001, ISO 27001 planned</t>
  </si>
  <si>
    <t>GHG Emissions Scope 1 (metric tonnes CO2e)</t>
  </si>
  <si>
    <t>GHG Emissions Scope 2 (metric tonnes CO2e)</t>
  </si>
  <si>
    <t>GHG Emissions Scope 3 (metric tonnes CO2e)</t>
  </si>
  <si>
    <t>Water withdrawal (kL)</t>
  </si>
  <si>
    <t>Not Available</t>
  </si>
  <si>
    <t>Waste generation (metric tonnes)</t>
  </si>
  <si>
    <t>Permanent Employees Male</t>
  </si>
  <si>
    <t>Permanent Employees Female</t>
  </si>
  <si>
    <t>Number of Complaints filed (various categories)</t>
  </si>
  <si>
    <t>Minor and few</t>
  </si>
  <si>
    <t>Board Diversity (Women on Board %)</t>
  </si>
  <si>
    <t>-</t>
  </si>
  <si>
    <t>Anti-corruption policies</t>
  </si>
  <si>
    <t>Available</t>
  </si>
  <si>
    <t>Occupational Health &amp; Safety Policy</t>
  </si>
  <si>
    <t>Implemented</t>
  </si>
  <si>
    <t>Planned</t>
  </si>
  <si>
    <t>ISO Certifications (Cybersecurity etc.)</t>
  </si>
  <si>
    <t>ISO 27001/270013</t>
  </si>
  <si>
    <t>ISO 27001 and related</t>
  </si>
  <si>
    <t>ISO 27001:2022</t>
  </si>
  <si>
    <t>category</t>
  </si>
  <si>
    <t>Details / Notes</t>
  </si>
  <si>
    <t>Total Employees and Workers</t>
  </si>
  <si>
    <t>Includes permanent and contractual workers.</t>
  </si>
  <si>
    <t>Permanent Employees (Male / Female)</t>
  </si>
  <si>
    <t>18,326 / 1,658</t>
  </si>
  <si>
    <t>19,984 / 1,683</t>
  </si>
  <si>
    <t>Slight increase in permanent workforce.</t>
  </si>
  <si>
    <t>Permanent Workers (Male / Female)</t>
  </si>
  <si>
    <t>4,170 / 182</t>
  </si>
  <si>
    <t>4,352 / 182</t>
  </si>
  <si>
    <t>Workers mainly involved in logistics operations.</t>
  </si>
  <si>
    <t>Complaints registered under POSH Act; all addressed, 5 pending resolution in FY25.</t>
  </si>
  <si>
    <t>Sexual Harassment Complaints Upheld</t>
  </si>
  <si>
    <t>Confirmed cases after internal investigations.</t>
  </si>
  <si>
    <t>Working Conditions Complaints Filed</t>
  </si>
  <si>
    <t>Complaints raised regarding workplace environment.</t>
  </si>
  <si>
    <t>Health &amp; Safety Complaints Filed</t>
  </si>
  <si>
    <t>Issues related to workplace safety.</t>
  </si>
  <si>
    <t>Employee Complaints (Overall) Filed</t>
  </si>
  <si>
    <t>Includes all HR related complaints; all resolved by FY-end.</t>
  </si>
  <si>
    <t>Employee Health Programs</t>
  </si>
  <si>
    <t>Ongoing</t>
  </si>
  <si>
    <t>Mental health trainings, safety drills, occupational health system.</t>
  </si>
  <si>
    <t>Training Hours - Health &amp; Safety</t>
  </si>
  <si>
    <t>~16,400 employees covered</t>
  </si>
  <si>
    <t>~20,000 employees covered</t>
  </si>
  <si>
    <t>Training on POSH, anti-bribery, health and safety, etc.</t>
  </si>
  <si>
    <t>Inclusion Policies</t>
  </si>
  <si>
    <t>Equal Employment Opportunity implemented</t>
  </si>
  <si>
    <t>Policy to prevent discrimination and promote diversity.</t>
  </si>
  <si>
    <t>Child Care Facilities</t>
  </si>
  <si>
    <t>Rolled out to all workers</t>
  </si>
  <si>
    <t>Supports working parents at select facilities.</t>
  </si>
  <si>
    <t>Metric / Initiative</t>
  </si>
  <si>
    <t>Board Diversity (Women %)</t>
  </si>
  <si>
    <t>Female representation on Board.</t>
  </si>
  <si>
    <t>Anti-Corruption Policies</t>
  </si>
  <si>
    <t>Strict code of conduct, anti-bribery and whistleblower policies.</t>
  </si>
  <si>
    <t>Whistleblower Complaints Filed</t>
  </si>
  <si>
    <t>Complaints from vendors/partners; all resolved except 1 in FY24.</t>
  </si>
  <si>
    <t>Corporate Social Responsibility (CSR) Spend (INR)</t>
  </si>
  <si>
    <t>Voluntary CSR spending on community programs.</t>
  </si>
  <si>
    <t>Compliance &amp; Certifications</t>
  </si>
  <si>
    <t>ISO 9001, ISO 14001, ISO 45001, ISO 27001</t>
  </si>
  <si>
    <t>Maintained &amp; upgraded</t>
  </si>
  <si>
    <t>Integrated management systems for quality, environment, safety, and security.</t>
  </si>
  <si>
    <t>Stakeholder Engagement Programs</t>
  </si>
  <si>
    <t>Regular engagement with employees, customers, vendors, and communities.</t>
  </si>
  <si>
    <t>Comprised of 2,937 MJ renewable (solar) and 729,354 MJ non-renewable in FY24; increased renewables to 4,773 MJ in FY25.</t>
  </si>
  <si>
    <t>Greenhouse gases from owned sources including fuel combustion.</t>
  </si>
  <si>
    <t>Emissions from purchased electricity.</t>
  </si>
  <si>
    <t>Emissions from value chain and outsourced services.</t>
  </si>
  <si>
    <t>Includes plastics (1,013 MT in FY24, 1,687 MT in FY25), e-waste, battery waste, etc.</t>
  </si>
  <si>
    <t>Limited to human consumption with sensor taps to reduce wastage.</t>
  </si>
  <si>
    <t>Solar Power Capacity (installed MW)</t>
  </si>
  <si>
    <t>4.6 MW</t>
  </si>
  <si>
    <t>7.0 MW</t>
  </si>
  <si>
    <t>Solar installations at 15 large facilities generating renewable energy.</t>
  </si>
  <si>
    <t>Fleet Modernization</t>
  </si>
  <si>
    <t>1,600+ CNG/EV vehicles</t>
  </si>
  <si>
    <t>Deployment of clean energy vehicles for logistics to reduce emissions.</t>
  </si>
  <si>
    <t>Energy Efficiency Initiatives</t>
  </si>
  <si>
    <t>Capex of 36.4 million INR</t>
  </si>
  <si>
    <t>Capex of 30.2 million INR</t>
  </si>
  <si>
    <t>Investments in fuel-efficient trucks, electric vehicles, rooftop solar.</t>
  </si>
  <si>
    <t>ISO 14001, ISO 45001, ISO 27001</t>
  </si>
  <si>
    <t>Same</t>
  </si>
  <si>
    <t>Environmental, safety, and information security certifications maintained.</t>
  </si>
  <si>
    <t>e waste generated not there in Gati&amp; DEL</t>
  </si>
  <si>
    <t>Renewable energy consumption (DEL not there)</t>
  </si>
  <si>
    <t>non renewable energy consumption (Del not there)</t>
  </si>
  <si>
    <t>lost time frequency rate no there for (Gati&amp;DEL)</t>
  </si>
  <si>
    <t>customer complaint ratio or number not there for (Gati &amp; DEL)</t>
  </si>
  <si>
    <t>sexual harassment complaints filed not there for (VRL &amp; Allc)</t>
  </si>
  <si>
    <t xml:space="preserve">sustainability commettee (not given in DEL &amp; VRL) </t>
  </si>
  <si>
    <t xml:space="preserve">Renewable energy </t>
  </si>
  <si>
    <t xml:space="preserve">Non - Renewable energy </t>
  </si>
  <si>
    <t xml:space="preserve">e-waste generated </t>
  </si>
  <si>
    <t xml:space="preserve">not avaible </t>
  </si>
  <si>
    <t>major increase due to asset upgrades, warehouse expansions and improved tracking, all e-waste is disposed off through authorized e-waste handlers, green certificates obtained after disposal</t>
  </si>
  <si>
    <t xml:space="preserve">Energy consumed through Renewable sources </t>
  </si>
  <si>
    <t xml:space="preserve">Energy consumed through  Non-Renewable sources </t>
  </si>
  <si>
    <t>GHG emission scope 1</t>
  </si>
  <si>
    <t>GHG emission scope 2</t>
  </si>
  <si>
    <t>GHG emission scope 3</t>
  </si>
  <si>
    <t xml:space="preserve">Water withdrawal </t>
  </si>
  <si>
    <t xml:space="preserve">Waste generated </t>
  </si>
  <si>
    <t xml:space="preserve">SOCIAL </t>
  </si>
  <si>
    <t xml:space="preserve"> </t>
  </si>
  <si>
    <t xml:space="preserve">GOVERNANCE </t>
  </si>
  <si>
    <t xml:space="preserve">ENVIRONMENT </t>
  </si>
  <si>
    <t xml:space="preserve">Board Diversity </t>
  </si>
  <si>
    <t xml:space="preserve">Employee Benefit Expenses </t>
  </si>
  <si>
    <t xml:space="preserve">ISO certification compliance </t>
  </si>
  <si>
    <t>Whistle Blower complaints (addressed to pending ratio)</t>
  </si>
  <si>
    <t xml:space="preserve">CSR spending (average of 3 years) </t>
  </si>
  <si>
    <t>VRL</t>
  </si>
  <si>
    <t>CATEGORY</t>
  </si>
  <si>
    <t>FY22-23</t>
  </si>
  <si>
    <t>FY23-24</t>
  </si>
  <si>
    <t xml:space="preserve">FY24-25 </t>
  </si>
  <si>
    <t>BLUEDART</t>
  </si>
  <si>
    <t>ALLCARGO</t>
  </si>
  <si>
    <t xml:space="preserve">DELHIVERY </t>
  </si>
  <si>
    <t xml:space="preserve">comments </t>
  </si>
  <si>
    <t>FY 22-23</t>
  </si>
  <si>
    <t xml:space="preserve">MALE </t>
  </si>
  <si>
    <t xml:space="preserve">FEMALE </t>
  </si>
  <si>
    <t>TOTAL(WORKERS)</t>
  </si>
  <si>
    <t>ratio of worker to employee</t>
  </si>
  <si>
    <t xml:space="preserve">there Is a decent ratio between permanent workers and permanent employees </t>
  </si>
  <si>
    <t xml:space="preserve">VRL </t>
  </si>
  <si>
    <t>ratio ofF/M</t>
  </si>
  <si>
    <t>there are no workers appointed</t>
  </si>
  <si>
    <t>complaints pending to resolved ratio</t>
  </si>
  <si>
    <t xml:space="preserve">ALLCARGO </t>
  </si>
  <si>
    <t>ratio of workers to employees</t>
  </si>
  <si>
    <t xml:space="preserve">no workers employed </t>
  </si>
  <si>
    <t xml:space="preserve">customer complaint analysis </t>
  </si>
  <si>
    <t xml:space="preserve">total complaint received </t>
  </si>
  <si>
    <t xml:space="preserve">pending </t>
  </si>
  <si>
    <t xml:space="preserve">resolved </t>
  </si>
  <si>
    <t xml:space="preserve">no proper disclosure </t>
  </si>
  <si>
    <t>Diversity in Employment - employees</t>
  </si>
  <si>
    <t xml:space="preserve">Diversity in Employment - workers </t>
  </si>
  <si>
    <t xml:space="preserve"> 1/8 </t>
  </si>
  <si>
    <t xml:space="preserve"> 1/8</t>
  </si>
  <si>
    <t xml:space="preserve">not specified </t>
  </si>
  <si>
    <t>approx -1.3 crores</t>
  </si>
  <si>
    <t>Managerial Remuneration (median remuneration paid)</t>
  </si>
  <si>
    <t>1.35 crores</t>
  </si>
  <si>
    <t xml:space="preserve">1.5 crores </t>
  </si>
  <si>
    <t>not stated</t>
  </si>
  <si>
    <t>53,271 lakhs</t>
  </si>
  <si>
    <t>not specified</t>
  </si>
  <si>
    <t xml:space="preserve">2081 lakhs </t>
  </si>
  <si>
    <t xml:space="preserve">1854 lakhs </t>
  </si>
  <si>
    <t xml:space="preserve"> 1/12</t>
  </si>
  <si>
    <t xml:space="preserve"> 2/13</t>
  </si>
  <si>
    <t>1.70 crores</t>
  </si>
  <si>
    <t xml:space="preserve">1.55 crores </t>
  </si>
  <si>
    <t xml:space="preserve">1.70 crores </t>
  </si>
  <si>
    <t xml:space="preserve">450 crores </t>
  </si>
  <si>
    <t xml:space="preserve">500crores </t>
  </si>
  <si>
    <t xml:space="preserve">550 crores </t>
  </si>
  <si>
    <t xml:space="preserve"> 252.75 lakhs </t>
  </si>
  <si>
    <t xml:space="preserve">376.33 lakhs </t>
  </si>
  <si>
    <t xml:space="preserve">ALLCARGO GATI </t>
  </si>
  <si>
    <t xml:space="preserve"> 1/7</t>
  </si>
  <si>
    <t xml:space="preserve">not stated </t>
  </si>
  <si>
    <t>314 lakhs</t>
  </si>
  <si>
    <t>274 lakhs</t>
  </si>
  <si>
    <t xml:space="preserve">17060 lakhs </t>
  </si>
  <si>
    <t xml:space="preserve">12 lakhs </t>
  </si>
  <si>
    <t xml:space="preserve">13 lakhs </t>
  </si>
  <si>
    <t xml:space="preserve">score </t>
  </si>
  <si>
    <t>weight (%)</t>
  </si>
  <si>
    <t>weights</t>
  </si>
  <si>
    <t>weights(%)</t>
  </si>
  <si>
    <t xml:space="preserve"> 2/9</t>
  </si>
  <si>
    <t xml:space="preserve"> 1/9</t>
  </si>
  <si>
    <t>15640(M)</t>
  </si>
  <si>
    <t>17651(M)</t>
  </si>
  <si>
    <t>251/20219</t>
  </si>
  <si>
    <t>256/21557</t>
  </si>
  <si>
    <t>289/22236</t>
  </si>
  <si>
    <t>425/3247</t>
  </si>
  <si>
    <t>335/2735</t>
  </si>
  <si>
    <t>304/2384</t>
  </si>
  <si>
    <t>93/667</t>
  </si>
  <si>
    <t>84/843</t>
  </si>
  <si>
    <t>1658/18326</t>
  </si>
  <si>
    <t>1683/19984</t>
  </si>
  <si>
    <t>182/4170</t>
  </si>
  <si>
    <t>182/4352</t>
  </si>
  <si>
    <t xml:space="preserve">Weightage </t>
  </si>
  <si>
    <t xml:space="preserve">Environment </t>
  </si>
  <si>
    <t xml:space="preserve">Social </t>
  </si>
  <si>
    <t xml:space="preserve">Governance </t>
  </si>
  <si>
    <t>Weighted Score</t>
  </si>
  <si>
    <t xml:space="preserve"> Weighted Score</t>
  </si>
  <si>
    <t>Total Weighted Score</t>
  </si>
  <si>
    <t>Weight Scores</t>
  </si>
  <si>
    <t>Total Weight Score</t>
  </si>
  <si>
    <t>Cummulative ESG Scores</t>
  </si>
  <si>
    <t>E</t>
  </si>
  <si>
    <t>S</t>
  </si>
  <si>
    <t>G</t>
  </si>
  <si>
    <t>Total ESG</t>
  </si>
  <si>
    <t>Environment</t>
  </si>
  <si>
    <t>year</t>
  </si>
  <si>
    <t xml:space="preserve">employee type </t>
  </si>
  <si>
    <t>turnover(male)</t>
  </si>
  <si>
    <t>turnover(female)</t>
  </si>
  <si>
    <t>turnover(total)</t>
  </si>
  <si>
    <t>(DELHIVERY)</t>
  </si>
  <si>
    <t>(VRL)</t>
  </si>
  <si>
    <t>FY22</t>
  </si>
  <si>
    <t>permanent employee</t>
  </si>
  <si>
    <t>FY23</t>
  </si>
  <si>
    <t>FY24</t>
  </si>
  <si>
    <t xml:space="preserve">permanent worker </t>
  </si>
  <si>
    <t xml:space="preserve">(BLUEDART) </t>
  </si>
  <si>
    <t>(GATI)</t>
  </si>
  <si>
    <t>empl</t>
  </si>
  <si>
    <t xml:space="preserve">worker </t>
  </si>
  <si>
    <t xml:space="preserve">Turnover rate of employees and workers </t>
  </si>
  <si>
    <t xml:space="preserve"> turnover rate of employees and workers </t>
  </si>
  <si>
    <t>DOMAIN</t>
  </si>
  <si>
    <t xml:space="preserve">PARAMETERS </t>
  </si>
  <si>
    <t xml:space="preserve">WEIGHTAGE </t>
  </si>
  <si>
    <t xml:space="preserve">RATINGS </t>
  </si>
  <si>
    <t xml:space="preserve">DOMESTIC </t>
  </si>
  <si>
    <t>COMPANY</t>
  </si>
  <si>
    <t xml:space="preserve">RATINGS OUT OF FIVE </t>
  </si>
  <si>
    <t xml:space="preserve">WEIGHTED  SCORE </t>
  </si>
  <si>
    <t xml:space="preserve">Energy consumed through Non-Renewable sources </t>
  </si>
  <si>
    <t>BLUEDART LTD</t>
  </si>
  <si>
    <t xml:space="preserve">GHG emission Scope -1 </t>
  </si>
  <si>
    <t>VRL LTD</t>
  </si>
  <si>
    <t>GHG emission Scope -2</t>
  </si>
  <si>
    <t xml:space="preserve">ALLCARGO GATI LTD </t>
  </si>
  <si>
    <t xml:space="preserve">GHG emission Scope -3 </t>
  </si>
  <si>
    <t>INTERNATIONAL</t>
  </si>
  <si>
    <t xml:space="preserve">UNITED PARCEL SERVICE </t>
  </si>
  <si>
    <t>FEDEX</t>
  </si>
  <si>
    <t xml:space="preserve">AGGREGATE ENVIRONMENT SCORE </t>
  </si>
  <si>
    <t xml:space="preserve">DHL GROUP </t>
  </si>
  <si>
    <t>SF HOLDINGS</t>
  </si>
  <si>
    <t xml:space="preserve">Sexual Harassment complaints filed </t>
  </si>
  <si>
    <t xml:space="preserve">Working conditions related complaints </t>
  </si>
  <si>
    <t xml:space="preserve">Health and Safety related complaints </t>
  </si>
  <si>
    <t xml:space="preserve">Diversity in Employees </t>
  </si>
  <si>
    <t xml:space="preserve">Delhivery </t>
  </si>
  <si>
    <t xml:space="preserve">domestic </t>
  </si>
  <si>
    <t>international</t>
  </si>
  <si>
    <t xml:space="preserve">Diversity in Workers </t>
  </si>
  <si>
    <t xml:space="preserve">AGGREGATE SOCIAL SCORE </t>
  </si>
  <si>
    <t xml:space="preserve">Managerial Remuneration </t>
  </si>
  <si>
    <t>Combined score</t>
  </si>
  <si>
    <t xml:space="preserve">ISO certification complaince </t>
  </si>
  <si>
    <t xml:space="preserve">Whistle Blower complaints </t>
  </si>
  <si>
    <t xml:space="preserve">CSR spending </t>
  </si>
  <si>
    <t xml:space="preserve">AGGREGATE GOVERNANCE SCORE </t>
  </si>
  <si>
    <t xml:space="preserve">Turnover rate of Employees and Workers </t>
  </si>
  <si>
    <t>674/12541 - 5%</t>
  </si>
  <si>
    <t>699/12703 - 5.5%</t>
  </si>
  <si>
    <t>232/9035 -2.57%</t>
  </si>
  <si>
    <t>201/8909-2.26%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</si>
</sst>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00"/>
    <numFmt numFmtId="165" formatCode="0.0"/>
    <numFmt numFmtId="166" formatCode="#,##0.0"/>
    <numFmt numFmtId="167" formatCode="0.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9.5"/>
      <color theme="1"/>
      <name val="Segoe UI"/>
      <family val="2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0" fillId="0" borderId="0" xfId="0" applyNumberFormat="1"/>
    <xf numFmtId="4" fontId="0" fillId="0" borderId="0" xfId="0" applyNumberFormat="1"/>
    <xf numFmtId="0" fontId="4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3" fontId="10" fillId="0" borderId="0" xfId="0" applyNumberFormat="1" applyFont="1" applyAlignment="1">
      <alignment vertical="center" wrapText="1"/>
    </xf>
    <xf numFmtId="3" fontId="11" fillId="0" borderId="0" xfId="0" applyNumberFormat="1" applyFont="1"/>
    <xf numFmtId="2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66" fontId="4" fillId="0" borderId="0" xfId="0" applyNumberFormat="1" applyFont="1" applyAlignment="1">
      <alignment horizontal="left" vertical="center"/>
    </xf>
    <xf numFmtId="2" fontId="4" fillId="0" borderId="0" xfId="2" applyNumberFormat="1" applyFont="1" applyFill="1" applyBorder="1" applyAlignment="1" applyProtection="1">
      <alignment horizontal="left" vertical="center"/>
    </xf>
    <xf numFmtId="2" fontId="0" fillId="0" borderId="0" xfId="2" applyNumberFormat="1" applyFont="1" applyAlignment="1">
      <alignment horizontal="left"/>
    </xf>
    <xf numFmtId="43" fontId="0" fillId="0" borderId="0" xfId="1" applyFont="1"/>
    <xf numFmtId="1" fontId="0" fillId="0" borderId="0" xfId="0" applyNumberFormat="1" applyAlignment="1">
      <alignment horizontal="left"/>
    </xf>
    <xf numFmtId="1" fontId="3" fillId="0" borderId="0" xfId="0" applyNumberFormat="1" applyFont="1" applyAlignment="1">
      <alignment horizontal="left"/>
    </xf>
    <xf numFmtId="2" fontId="3" fillId="0" borderId="0" xfId="0" applyNumberFormat="1" applyFont="1"/>
    <xf numFmtId="2" fontId="3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2" applyNumberFormat="1" applyFont="1"/>
    <xf numFmtId="167" fontId="0" fillId="0" borderId="0" xfId="0" applyNumberFormat="1"/>
    <xf numFmtId="10" fontId="0" fillId="0" borderId="0" xfId="2" applyNumberFormat="1" applyFont="1"/>
    <xf numFmtId="10" fontId="0" fillId="0" borderId="0" xfId="2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 vertical="center"/>
    </xf>
    <xf numFmtId="0" fontId="4" fillId="0" borderId="0" xfId="0" applyNumberFormat="1" applyFont="1" applyFill="1" applyBorder="1" applyAlignment="1" applyProtection="1"/>
    <xf numFmtId="2" fontId="4" fillId="0" borderId="0" xfId="0" applyNumberFormat="1" applyFont="1" applyFill="1" applyBorder="1" applyAlignment="1" applyProtection="1"/>
    <xf numFmtId="10" fontId="4" fillId="0" borderId="0" xfId="0" applyNumberFormat="1" applyFont="1" applyFill="1" applyBorder="1" applyAlignment="1" applyProtection="1"/>
    <xf numFmtId="9" fontId="4" fillId="0" borderId="0" xfId="2" applyFont="1" applyFill="1" applyBorder="1" applyAlignment="1" applyProtection="1"/>
    <xf numFmtId="9" fontId="7" fillId="0" borderId="0" xfId="0" applyNumberFormat="1" applyFont="1" applyFill="1" applyBorder="1" applyAlignment="1" applyProtection="1"/>
    <xf numFmtId="10" fontId="4" fillId="0" borderId="0" xfId="2" applyNumberFormat="1" applyFont="1" applyFill="1" applyBorder="1" applyAlignment="1" applyProtection="1"/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0" applyNumberFormat="1" applyBorder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4" xfId="0" applyNumberFormat="1" applyFont="1" applyBorder="1" applyAlignment="1">
      <alignment horizontal="center"/>
    </xf>
    <xf numFmtId="0" fontId="12" fillId="0" borderId="6" xfId="0" applyNumberFormat="1" applyFont="1" applyBorder="1" applyAlignment="1">
      <alignment horizontal="center"/>
    </xf>
    <xf numFmtId="10" fontId="0" fillId="0" borderId="1" xfId="0" applyNumberFormat="1" applyBorder="1"/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A16" workbookViewId="0">
      <selection activeCell="C20" sqref="C20:E20"/>
    </sheetView>
  </sheetViews>
  <sheetFormatPr defaultRowHeight="14.25"/>
  <cols>
    <col min="1" max="1" width="12.19921875" bestFit="1" customWidth="1"/>
    <col min="2" max="2" width="37.46484375" bestFit="1" customWidth="1"/>
    <col min="3" max="4" width="16.9296875" bestFit="1" customWidth="1"/>
    <col min="5" max="5" width="34.19921875" bestFit="1" customWidth="1"/>
    <col min="6" max="6" width="10.59765625" bestFit="1" customWidth="1"/>
    <col min="7" max="7" width="9.19921875" bestFit="1" customWidth="1"/>
    <col min="8" max="10" width="9.59765625" bestFit="1" customWidth="1"/>
    <col min="11" max="11" width="15" bestFit="1" customWidth="1"/>
  </cols>
  <sheetData>
    <row r="1" spans="1:12" ht="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G1" s="6"/>
      <c r="H1" s="23"/>
      <c r="I1" s="23" t="s">
        <v>178</v>
      </c>
      <c r="J1" s="23" t="s">
        <v>179</v>
      </c>
      <c r="K1" t="s">
        <v>180</v>
      </c>
      <c r="L1" s="23" t="s">
        <v>181</v>
      </c>
    </row>
    <row r="2" spans="1:12" ht="15">
      <c r="A2" s="2" t="s">
        <v>5</v>
      </c>
      <c r="B2" s="10" t="s">
        <v>6</v>
      </c>
      <c r="C2" s="3">
        <v>404549257</v>
      </c>
      <c r="D2" s="3">
        <v>763259501</v>
      </c>
      <c r="E2" s="3">
        <v>741317155</v>
      </c>
      <c r="F2" s="8">
        <f>AVERAGE(C2:E2)</f>
        <v>636375304.33333337</v>
      </c>
      <c r="H2" s="24" t="s">
        <v>177</v>
      </c>
      <c r="I2" s="26">
        <v>8863</v>
      </c>
      <c r="J2" s="25">
        <v>185</v>
      </c>
      <c r="K2" s="8">
        <f>I2+J2</f>
        <v>9048</v>
      </c>
      <c r="L2" s="19">
        <f>K2/C12</f>
        <v>0.71843735111958074</v>
      </c>
    </row>
    <row r="3" spans="1:12" ht="15">
      <c r="A3" s="2"/>
      <c r="B3" s="2" t="s">
        <v>7</v>
      </c>
      <c r="C3" s="2">
        <v>0</v>
      </c>
      <c r="D3" s="3">
        <v>51481440</v>
      </c>
      <c r="E3" s="3">
        <v>92296800</v>
      </c>
      <c r="F3" s="8">
        <f t="shared" ref="F3:F22" si="0">AVERAGE(C3:E3)</f>
        <v>47926080</v>
      </c>
      <c r="H3" s="24" t="s">
        <v>171</v>
      </c>
      <c r="I3" s="25">
        <v>8908</v>
      </c>
      <c r="J3" s="25">
        <v>8707</v>
      </c>
      <c r="K3" s="8">
        <f t="shared" ref="K3:K4" si="1">I3+J3</f>
        <v>17615</v>
      </c>
      <c r="L3" s="19">
        <f>K3/D12</f>
        <v>1.4045929351726338</v>
      </c>
    </row>
    <row r="4" spans="1:12" ht="15">
      <c r="A4" s="2"/>
      <c r="B4" s="2" t="s">
        <v>8</v>
      </c>
      <c r="C4" s="3">
        <v>404549257</v>
      </c>
      <c r="D4" s="3">
        <v>711778061</v>
      </c>
      <c r="E4" s="3">
        <v>649020355</v>
      </c>
      <c r="F4" s="8">
        <f t="shared" si="0"/>
        <v>588449224.33333337</v>
      </c>
      <c r="H4" s="24" t="s">
        <v>172</v>
      </c>
      <c r="I4" s="25">
        <v>8803</v>
      </c>
      <c r="J4" s="25">
        <v>232</v>
      </c>
      <c r="K4" s="8">
        <f t="shared" si="1"/>
        <v>9035</v>
      </c>
      <c r="L4" s="19">
        <f>K4/E12</f>
        <v>0.71124931118633394</v>
      </c>
    </row>
    <row r="5" spans="1:12">
      <c r="A5" s="2"/>
      <c r="B5" s="10" t="s">
        <v>9</v>
      </c>
      <c r="C5" s="3">
        <v>166362</v>
      </c>
      <c r="D5" s="3">
        <v>147284</v>
      </c>
      <c r="E5" s="3">
        <v>170806</v>
      </c>
      <c r="F5" s="8">
        <f t="shared" si="0"/>
        <v>161484</v>
      </c>
    </row>
    <row r="6" spans="1:12">
      <c r="A6" s="2"/>
      <c r="B6" s="10" t="s">
        <v>10</v>
      </c>
      <c r="C6" s="3">
        <v>16477</v>
      </c>
      <c r="D6" s="3">
        <v>15639</v>
      </c>
      <c r="E6" s="3">
        <v>15906</v>
      </c>
      <c r="F6" s="8">
        <f t="shared" si="0"/>
        <v>16007.333333333334</v>
      </c>
    </row>
    <row r="7" spans="1:12">
      <c r="A7" s="2"/>
      <c r="B7" s="10" t="s">
        <v>11</v>
      </c>
      <c r="C7" s="3">
        <v>253468</v>
      </c>
      <c r="D7" s="3">
        <v>284238</v>
      </c>
      <c r="E7" s="3">
        <v>309989</v>
      </c>
      <c r="F7" s="8">
        <f t="shared" si="0"/>
        <v>282565</v>
      </c>
    </row>
    <row r="8" spans="1:12">
      <c r="A8" s="2"/>
      <c r="B8" s="10" t="s">
        <v>12</v>
      </c>
      <c r="C8" s="3">
        <v>131350</v>
      </c>
      <c r="D8" s="3">
        <v>84477</v>
      </c>
      <c r="E8" s="3">
        <v>87154</v>
      </c>
      <c r="F8" s="8">
        <f t="shared" si="0"/>
        <v>100993.66666666667</v>
      </c>
    </row>
    <row r="9" spans="1:12">
      <c r="A9" s="2"/>
      <c r="B9" s="10" t="s">
        <v>13</v>
      </c>
      <c r="C9" s="2">
        <v>20.52</v>
      </c>
      <c r="D9" s="2">
        <v>17.18</v>
      </c>
      <c r="E9" s="2">
        <v>234.67</v>
      </c>
      <c r="F9" s="8">
        <f t="shared" si="0"/>
        <v>90.79</v>
      </c>
    </row>
    <row r="10" spans="1:12">
      <c r="A10" s="2"/>
      <c r="B10" s="2" t="s">
        <v>14</v>
      </c>
      <c r="C10" s="2">
        <v>18.309999999999999</v>
      </c>
      <c r="D10" s="2">
        <v>13.62</v>
      </c>
      <c r="E10" s="2">
        <v>13.62</v>
      </c>
      <c r="F10" s="8">
        <f t="shared" si="0"/>
        <v>15.183333333333332</v>
      </c>
    </row>
    <row r="11" spans="1:12">
      <c r="A11" s="2" t="s">
        <v>15</v>
      </c>
      <c r="B11" s="2"/>
      <c r="C11" s="2"/>
      <c r="D11" s="2"/>
      <c r="E11" s="2"/>
      <c r="F11" s="8" t="e">
        <f t="shared" si="0"/>
        <v>#DIV/0!</v>
      </c>
    </row>
    <row r="12" spans="1:12">
      <c r="A12" s="2" t="s">
        <v>16</v>
      </c>
      <c r="B12" s="2" t="s">
        <v>17</v>
      </c>
      <c r="C12" s="3">
        <v>12594</v>
      </c>
      <c r="D12" s="3">
        <v>12541</v>
      </c>
      <c r="E12" s="3">
        <v>12703</v>
      </c>
      <c r="F12" s="8">
        <f t="shared" si="0"/>
        <v>12612.666666666666</v>
      </c>
      <c r="G12" s="20"/>
      <c r="H12" s="20"/>
      <c r="I12" s="20"/>
      <c r="J12" s="20"/>
    </row>
    <row r="13" spans="1:12">
      <c r="A13" s="2"/>
      <c r="B13" s="10" t="s">
        <v>18</v>
      </c>
      <c r="C13" s="3">
        <v>11940</v>
      </c>
      <c r="D13" s="3">
        <v>11867</v>
      </c>
      <c r="E13" s="3">
        <v>12004</v>
      </c>
      <c r="F13" s="8">
        <f t="shared" si="0"/>
        <v>11937</v>
      </c>
    </row>
    <row r="14" spans="1:12">
      <c r="A14" s="2"/>
      <c r="B14" s="10" t="s">
        <v>19</v>
      </c>
      <c r="C14" s="2">
        <v>654</v>
      </c>
      <c r="D14" s="2">
        <v>674</v>
      </c>
      <c r="E14" s="2">
        <v>699</v>
      </c>
      <c r="F14" s="8">
        <f t="shared" si="0"/>
        <v>675.66666666666663</v>
      </c>
    </row>
    <row r="15" spans="1:12">
      <c r="A15" s="2"/>
      <c r="B15" s="12" t="s">
        <v>20</v>
      </c>
      <c r="C15" s="2">
        <v>0.03</v>
      </c>
      <c r="D15" s="2">
        <v>0.03</v>
      </c>
      <c r="E15" s="2">
        <v>7.0000000000000007E-2</v>
      </c>
      <c r="F15" s="8">
        <f t="shared" si="0"/>
        <v>4.3333333333333335E-2</v>
      </c>
    </row>
    <row r="16" spans="1:12">
      <c r="A16" s="2"/>
      <c r="B16" s="2" t="s">
        <v>21</v>
      </c>
      <c r="C16" s="2" t="s">
        <v>22</v>
      </c>
      <c r="D16" s="2" t="s">
        <v>22</v>
      </c>
      <c r="E16" s="2" t="s">
        <v>22</v>
      </c>
      <c r="F16" s="8" t="e">
        <f t="shared" si="0"/>
        <v>#DIV/0!</v>
      </c>
    </row>
    <row r="17" spans="1:6">
      <c r="A17" s="2"/>
      <c r="B17" s="2" t="s">
        <v>23</v>
      </c>
      <c r="C17" s="2">
        <v>2</v>
      </c>
      <c r="D17" s="2">
        <v>1</v>
      </c>
      <c r="E17" s="2">
        <v>1</v>
      </c>
      <c r="F17" s="8">
        <f t="shared" si="0"/>
        <v>1.3333333333333333</v>
      </c>
    </row>
    <row r="18" spans="1:6">
      <c r="A18" s="2" t="s">
        <v>24</v>
      </c>
      <c r="B18" s="10" t="s">
        <v>25</v>
      </c>
      <c r="C18" s="2" t="s">
        <v>22</v>
      </c>
      <c r="D18" s="2" t="s">
        <v>22</v>
      </c>
      <c r="E18" s="4">
        <v>0.33329999999999999</v>
      </c>
      <c r="F18" s="8">
        <f t="shared" si="0"/>
        <v>0.33329999999999999</v>
      </c>
    </row>
    <row r="19" spans="1:6">
      <c r="A19" s="2"/>
      <c r="B19" s="10" t="s">
        <v>26</v>
      </c>
      <c r="C19" s="2" t="s">
        <v>27</v>
      </c>
      <c r="D19" s="2" t="s">
        <v>27</v>
      </c>
      <c r="E19" s="2" t="s">
        <v>27</v>
      </c>
      <c r="F19" s="8" t="e">
        <f t="shared" si="0"/>
        <v>#DIV/0!</v>
      </c>
    </row>
    <row r="20" spans="1:6">
      <c r="A20" s="2"/>
      <c r="B20" s="10" t="s">
        <v>28</v>
      </c>
      <c r="C20" s="2" t="s">
        <v>29</v>
      </c>
      <c r="D20" s="2" t="s">
        <v>29</v>
      </c>
      <c r="E20" s="2" t="s">
        <v>30</v>
      </c>
      <c r="F20" s="8" t="e">
        <f t="shared" si="0"/>
        <v>#DIV/0!</v>
      </c>
    </row>
    <row r="21" spans="1:6">
      <c r="A21" s="2"/>
      <c r="B21" s="2" t="s">
        <v>31</v>
      </c>
      <c r="C21" s="2" t="s">
        <v>27</v>
      </c>
      <c r="D21" s="2" t="s">
        <v>27</v>
      </c>
      <c r="E21" s="2" t="s">
        <v>27</v>
      </c>
      <c r="F21" s="8" t="e">
        <f t="shared" si="0"/>
        <v>#DIV/0!</v>
      </c>
    </row>
    <row r="22" spans="1:6">
      <c r="A22" s="2"/>
      <c r="B22" s="2" t="s">
        <v>32</v>
      </c>
      <c r="C22" s="2" t="s">
        <v>33</v>
      </c>
      <c r="D22" s="2" t="s">
        <v>33</v>
      </c>
      <c r="E22" s="2" t="s">
        <v>33</v>
      </c>
      <c r="F22" s="8" t="e">
        <f t="shared" si="0"/>
        <v>#DIV/0!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3" workbookViewId="0">
      <selection activeCell="C23" sqref="C23:E23"/>
    </sheetView>
  </sheetViews>
  <sheetFormatPr defaultRowHeight="14.25"/>
  <cols>
    <col min="1" max="1" width="12.19921875" bestFit="1" customWidth="1"/>
    <col min="2" max="2" width="33.33203125" bestFit="1" customWidth="1"/>
    <col min="3" max="4" width="16.9296875" bestFit="1" customWidth="1"/>
    <col min="5" max="5" width="32.9296875" bestFit="1" customWidth="1"/>
    <col min="7" max="7" width="29.796875" bestFit="1" customWidth="1"/>
  </cols>
  <sheetData>
    <row r="1" spans="1:10">
      <c r="A1" s="6" t="s">
        <v>71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34</v>
      </c>
      <c r="H1" s="7" t="s">
        <v>2</v>
      </c>
      <c r="I1" s="7" t="s">
        <v>3</v>
      </c>
      <c r="J1" s="7" t="s">
        <v>4</v>
      </c>
    </row>
    <row r="2" spans="1:10">
      <c r="A2" s="2" t="s">
        <v>5</v>
      </c>
      <c r="B2" s="2" t="s">
        <v>35</v>
      </c>
      <c r="C2" s="5">
        <v>4175478.16</v>
      </c>
      <c r="D2" s="5">
        <v>3751226.96</v>
      </c>
      <c r="E2" s="5">
        <v>3710980.14</v>
      </c>
      <c r="F2" s="2">
        <f t="shared" ref="F2:F20" si="0">AVERAGE(C2:E2)</f>
        <v>3879228.42</v>
      </c>
      <c r="G2" t="s">
        <v>184</v>
      </c>
      <c r="H2" s="18">
        <f>C15/C14</f>
        <v>1.257011217948718E-2</v>
      </c>
      <c r="I2" s="18">
        <f>D15/D14</f>
        <v>1.2018215107271959E-2</v>
      </c>
      <c r="J2" s="18">
        <f>E15/E14</f>
        <v>1.3168086754453912E-2</v>
      </c>
    </row>
    <row r="3" spans="1:10">
      <c r="A3" s="2"/>
      <c r="B3" s="2" t="s">
        <v>36</v>
      </c>
      <c r="C3" s="3">
        <v>19710</v>
      </c>
      <c r="D3" s="3">
        <v>51481</v>
      </c>
      <c r="E3" s="3">
        <v>92296</v>
      </c>
      <c r="F3" s="2">
        <f t="shared" si="0"/>
        <v>54495.666666666664</v>
      </c>
      <c r="G3" t="s">
        <v>186</v>
      </c>
      <c r="H3" s="18">
        <f>839/30224</f>
        <v>2.7759396506087879E-2</v>
      </c>
      <c r="I3" s="18">
        <f>842/31678</f>
        <v>2.6579960856114655E-2</v>
      </c>
      <c r="J3" s="18">
        <f>767/89616</f>
        <v>8.5587395108016433E-3</v>
      </c>
    </row>
    <row r="4" spans="1:10">
      <c r="A4" s="2"/>
      <c r="B4" s="2" t="s">
        <v>37</v>
      </c>
      <c r="C4" s="5">
        <v>4155768.16</v>
      </c>
      <c r="D4" s="5">
        <v>3699745.96</v>
      </c>
      <c r="E4" s="5">
        <v>3618684.14</v>
      </c>
      <c r="F4" s="2">
        <f t="shared" si="0"/>
        <v>3824732.7533333334</v>
      </c>
    </row>
    <row r="5" spans="1:10">
      <c r="A5" s="2"/>
      <c r="B5" s="2" t="s">
        <v>38</v>
      </c>
      <c r="C5" s="5">
        <v>276436.62</v>
      </c>
      <c r="D5" s="5">
        <v>270094.39</v>
      </c>
      <c r="E5" s="5">
        <v>274255.01</v>
      </c>
      <c r="F5" s="2">
        <f t="shared" si="0"/>
        <v>273595.34000000003</v>
      </c>
    </row>
    <row r="6" spans="1:10">
      <c r="A6" s="2"/>
      <c r="B6" s="2" t="s">
        <v>39</v>
      </c>
      <c r="C6" s="5">
        <v>7923.8</v>
      </c>
      <c r="D6" s="5">
        <v>8624.19</v>
      </c>
      <c r="E6" s="5">
        <v>9418.15</v>
      </c>
      <c r="F6" s="2">
        <f t="shared" si="0"/>
        <v>8655.3799999999992</v>
      </c>
    </row>
    <row r="7" spans="1:10">
      <c r="A7" s="2"/>
      <c r="B7" s="2" t="s">
        <v>40</v>
      </c>
      <c r="C7" s="5">
        <v>49758.59</v>
      </c>
      <c r="D7" s="5">
        <v>54018.879999999997</v>
      </c>
      <c r="E7" s="5">
        <v>54851</v>
      </c>
      <c r="F7" s="2">
        <f t="shared" si="0"/>
        <v>52876.156666666669</v>
      </c>
    </row>
    <row r="8" spans="1:10">
      <c r="A8" s="2"/>
      <c r="B8" s="2" t="s">
        <v>12</v>
      </c>
      <c r="C8" s="3">
        <v>406800</v>
      </c>
      <c r="D8" s="3">
        <v>398750</v>
      </c>
      <c r="E8" s="3">
        <v>42990</v>
      </c>
      <c r="F8" s="2">
        <f t="shared" si="0"/>
        <v>282846.66666666669</v>
      </c>
    </row>
    <row r="9" spans="1:10">
      <c r="A9" s="2"/>
      <c r="B9" s="2" t="s">
        <v>13</v>
      </c>
      <c r="C9" s="5">
        <v>2481.59</v>
      </c>
      <c r="D9" s="5">
        <v>2480.79</v>
      </c>
      <c r="E9" s="5">
        <v>5058.93</v>
      </c>
      <c r="F9" s="2">
        <f t="shared" si="0"/>
        <v>3340.436666666667</v>
      </c>
    </row>
    <row r="10" spans="1:10">
      <c r="A10" s="2"/>
      <c r="B10" s="2" t="s">
        <v>14</v>
      </c>
      <c r="C10" s="2">
        <v>0.8</v>
      </c>
      <c r="D10" s="2">
        <v>0.8</v>
      </c>
      <c r="E10" s="2">
        <v>0.9</v>
      </c>
      <c r="F10" s="2">
        <f t="shared" si="0"/>
        <v>0.83333333333333337</v>
      </c>
    </row>
    <row r="11" spans="1:10">
      <c r="A11" s="2"/>
      <c r="B11" s="2" t="s">
        <v>41</v>
      </c>
      <c r="C11" s="2">
        <v>27.94</v>
      </c>
      <c r="D11" s="2">
        <v>20.43</v>
      </c>
      <c r="E11" s="2">
        <v>27.66</v>
      </c>
      <c r="F11" s="2">
        <f t="shared" si="0"/>
        <v>25.343333333333334</v>
      </c>
    </row>
    <row r="12" spans="1:10">
      <c r="A12" s="2"/>
      <c r="B12" s="2" t="s">
        <v>42</v>
      </c>
      <c r="C12" s="2">
        <v>0.93</v>
      </c>
      <c r="D12" s="2">
        <v>6.43</v>
      </c>
      <c r="E12" s="2">
        <v>7.13</v>
      </c>
      <c r="F12" s="2">
        <f t="shared" si="0"/>
        <v>4.8299999999999992</v>
      </c>
    </row>
    <row r="13" spans="1:10">
      <c r="A13" s="2" t="s">
        <v>16</v>
      </c>
      <c r="B13" s="2" t="s">
        <v>17</v>
      </c>
      <c r="C13" s="3">
        <v>20219</v>
      </c>
      <c r="D13" s="3">
        <v>21557</v>
      </c>
      <c r="E13" s="3">
        <v>22236</v>
      </c>
      <c r="F13" s="2">
        <f t="shared" si="0"/>
        <v>21337.333333333332</v>
      </c>
    </row>
    <row r="14" spans="1:10">
      <c r="A14" s="2"/>
      <c r="B14" s="2" t="s">
        <v>18</v>
      </c>
      <c r="C14" s="3">
        <v>19968</v>
      </c>
      <c r="D14" s="3">
        <v>21301</v>
      </c>
      <c r="E14" s="3">
        <v>21947</v>
      </c>
      <c r="F14" s="2">
        <f t="shared" si="0"/>
        <v>21072</v>
      </c>
    </row>
    <row r="15" spans="1:10">
      <c r="A15" s="2"/>
      <c r="B15" s="2" t="s">
        <v>19</v>
      </c>
      <c r="C15" s="2">
        <v>251</v>
      </c>
      <c r="D15" s="2">
        <v>256</v>
      </c>
      <c r="E15" s="2">
        <v>289</v>
      </c>
      <c r="F15" s="2">
        <f t="shared" si="0"/>
        <v>265.33333333333331</v>
      </c>
    </row>
    <row r="16" spans="1:10">
      <c r="A16" s="2"/>
      <c r="B16" s="2" t="s">
        <v>43</v>
      </c>
      <c r="C16" s="3">
        <v>31063</v>
      </c>
      <c r="D16" s="3">
        <v>32520</v>
      </c>
      <c r="E16" s="3">
        <v>90383</v>
      </c>
      <c r="F16" s="2">
        <f t="shared" si="0"/>
        <v>51322</v>
      </c>
    </row>
    <row r="17" spans="1:6">
      <c r="A17" s="2"/>
      <c r="B17" s="2" t="s">
        <v>44</v>
      </c>
      <c r="C17" s="2" t="s">
        <v>45</v>
      </c>
      <c r="D17" s="2">
        <v>1.32</v>
      </c>
      <c r="E17" s="2">
        <v>0.83</v>
      </c>
      <c r="F17" s="2">
        <f t="shared" si="0"/>
        <v>1.075</v>
      </c>
    </row>
    <row r="18" spans="1:6">
      <c r="A18" s="2"/>
      <c r="B18" s="2" t="s">
        <v>46</v>
      </c>
      <c r="C18" s="2">
        <v>42</v>
      </c>
      <c r="D18" s="2">
        <v>69</v>
      </c>
      <c r="E18" s="2">
        <v>45</v>
      </c>
      <c r="F18" s="2">
        <f t="shared" si="0"/>
        <v>52</v>
      </c>
    </row>
    <row r="19" spans="1:6">
      <c r="A19" s="2"/>
      <c r="B19" s="2" t="s">
        <v>47</v>
      </c>
      <c r="C19" s="2">
        <v>38</v>
      </c>
      <c r="D19" s="2">
        <v>11</v>
      </c>
      <c r="E19" s="2">
        <v>20</v>
      </c>
      <c r="F19" s="2">
        <f t="shared" si="0"/>
        <v>23</v>
      </c>
    </row>
    <row r="20" spans="1:6">
      <c r="A20" s="2" t="s">
        <v>24</v>
      </c>
      <c r="B20" s="2" t="s">
        <v>25</v>
      </c>
      <c r="C20" s="4">
        <v>0.16669999999999999</v>
      </c>
      <c r="D20" s="4">
        <v>0.15379999999999999</v>
      </c>
      <c r="E20" s="4">
        <v>8.3299999999999999E-2</v>
      </c>
      <c r="F20" s="2">
        <f t="shared" si="0"/>
        <v>0.1346</v>
      </c>
    </row>
    <row r="21" spans="1:6">
      <c r="A21" s="2"/>
      <c r="B21" s="2" t="s">
        <v>26</v>
      </c>
      <c r="C21" s="2" t="s">
        <v>27</v>
      </c>
      <c r="D21" s="2" t="s">
        <v>27</v>
      </c>
      <c r="E21" s="2" t="s">
        <v>27</v>
      </c>
      <c r="F21" s="2"/>
    </row>
    <row r="22" spans="1:6">
      <c r="A22" s="2"/>
      <c r="B22" s="2" t="s">
        <v>48</v>
      </c>
      <c r="C22" s="2" t="s">
        <v>27</v>
      </c>
      <c r="D22" s="2" t="s">
        <v>27</v>
      </c>
      <c r="E22" s="2" t="s">
        <v>27</v>
      </c>
      <c r="F22" s="2"/>
    </row>
    <row r="23" spans="1:6">
      <c r="A23" s="2"/>
      <c r="B23" s="2" t="s">
        <v>28</v>
      </c>
      <c r="C23" s="2" t="s">
        <v>29</v>
      </c>
      <c r="D23" s="2" t="s">
        <v>29</v>
      </c>
      <c r="E23" s="2" t="s">
        <v>49</v>
      </c>
      <c r="F23" s="2"/>
    </row>
    <row r="24" spans="1:6">
      <c r="A24" s="1"/>
      <c r="B24" s="1"/>
      <c r="C24" s="1"/>
      <c r="D24" s="1"/>
      <c r="E24" s="1"/>
      <c r="F2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C19" sqref="C19:E19"/>
    </sheetView>
  </sheetViews>
  <sheetFormatPr defaultRowHeight="14.25"/>
  <cols>
    <col min="1" max="1" width="12.19921875" bestFit="1" customWidth="1"/>
    <col min="2" max="2" width="38.73046875" bestFit="1" customWidth="1"/>
    <col min="3" max="3" width="15.59765625" bestFit="1" customWidth="1"/>
    <col min="4" max="4" width="18.33203125" bestFit="1" customWidth="1"/>
    <col min="5" max="5" width="13.33203125" bestFit="1" customWidth="1"/>
    <col min="7" max="7" width="11.06640625" bestFit="1" customWidth="1"/>
    <col min="8" max="8" width="11.06640625" customWidth="1"/>
    <col min="9" max="9" width="24.46484375" bestFit="1" customWidth="1"/>
    <col min="10" max="10" width="18.265625" bestFit="1" customWidth="1"/>
    <col min="11" max="12" width="9.59765625" bestFit="1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G1" s="6" t="s">
        <v>34</v>
      </c>
      <c r="H1" s="6"/>
      <c r="J1" s="6" t="s">
        <v>2</v>
      </c>
      <c r="K1" s="6" t="s">
        <v>3</v>
      </c>
      <c r="L1" s="6" t="s">
        <v>4</v>
      </c>
    </row>
    <row r="2" spans="1:12">
      <c r="A2" s="2" t="s">
        <v>5</v>
      </c>
      <c r="B2" s="2" t="s">
        <v>35</v>
      </c>
      <c r="C2" s="5">
        <v>23247.31</v>
      </c>
      <c r="D2" s="5">
        <v>28280.62</v>
      </c>
      <c r="E2" s="5">
        <v>30703.07</v>
      </c>
      <c r="G2" s="9">
        <f>AVERAGE(C2:E2)</f>
        <v>27410.333333333332</v>
      </c>
      <c r="H2" s="9"/>
      <c r="I2" t="s">
        <v>188</v>
      </c>
      <c r="J2" t="s">
        <v>189</v>
      </c>
      <c r="K2" s="19">
        <f>667/2735</f>
        <v>0.24387568555758685</v>
      </c>
      <c r="L2" s="19">
        <f>843/2384</f>
        <v>0.35360738255033558</v>
      </c>
    </row>
    <row r="3" spans="1:12">
      <c r="A3" s="2"/>
      <c r="B3" s="2" t="s">
        <v>36</v>
      </c>
      <c r="C3" s="2">
        <v>615.27</v>
      </c>
      <c r="D3" s="2">
        <v>374.7</v>
      </c>
      <c r="E3" s="5">
        <v>2023.54</v>
      </c>
      <c r="G3" s="9">
        <f t="shared" ref="G3:G19" si="0">AVERAGE(C3:E3)</f>
        <v>1004.5033333333334</v>
      </c>
      <c r="H3" s="9"/>
      <c r="I3" s="16" t="s">
        <v>190</v>
      </c>
    </row>
    <row r="4" spans="1:12">
      <c r="A4" s="2"/>
      <c r="B4" s="2" t="s">
        <v>37</v>
      </c>
      <c r="C4" s="5">
        <v>22632.04</v>
      </c>
      <c r="D4" s="5">
        <v>27905.919999999998</v>
      </c>
      <c r="E4" s="5">
        <v>28679.53</v>
      </c>
      <c r="G4" s="9">
        <f t="shared" si="0"/>
        <v>26405.829999999998</v>
      </c>
      <c r="H4" s="9"/>
      <c r="I4" t="s">
        <v>191</v>
      </c>
      <c r="J4">
        <v>15</v>
      </c>
      <c r="K4">
        <v>15</v>
      </c>
      <c r="L4">
        <v>8</v>
      </c>
    </row>
    <row r="5" spans="1:12">
      <c r="A5" s="2"/>
      <c r="B5" s="2" t="s">
        <v>50</v>
      </c>
      <c r="C5" s="2">
        <v>337.39</v>
      </c>
      <c r="D5" s="2">
        <v>390.96</v>
      </c>
      <c r="E5" s="2">
        <v>484.37</v>
      </c>
      <c r="G5" s="9">
        <f t="shared" si="0"/>
        <v>404.23999999999995</v>
      </c>
      <c r="H5" s="9"/>
      <c r="I5" t="s">
        <v>192</v>
      </c>
      <c r="J5">
        <v>25</v>
      </c>
      <c r="K5">
        <v>6</v>
      </c>
      <c r="L5">
        <v>8</v>
      </c>
    </row>
    <row r="6" spans="1:12">
      <c r="A6" s="2"/>
      <c r="B6" s="2" t="s">
        <v>51</v>
      </c>
      <c r="C6" s="5">
        <v>3213.58</v>
      </c>
      <c r="D6" s="5">
        <v>6279</v>
      </c>
      <c r="E6" s="5">
        <v>4611.82</v>
      </c>
      <c r="G6" s="9">
        <f t="shared" si="0"/>
        <v>4701.4666666666662</v>
      </c>
      <c r="H6" s="9"/>
      <c r="I6" t="s">
        <v>193</v>
      </c>
      <c r="J6" t="s">
        <v>194</v>
      </c>
      <c r="K6">
        <v>9</v>
      </c>
      <c r="L6">
        <v>0</v>
      </c>
    </row>
    <row r="7" spans="1:12">
      <c r="A7" s="2"/>
      <c r="B7" s="2" t="s">
        <v>52</v>
      </c>
      <c r="C7" s="5">
        <v>1749280.84</v>
      </c>
      <c r="D7" s="5">
        <v>871898.02</v>
      </c>
      <c r="E7" s="5">
        <v>910408.31</v>
      </c>
      <c r="G7" s="9">
        <f t="shared" si="0"/>
        <v>1177195.7233333334</v>
      </c>
      <c r="H7" s="9"/>
    </row>
    <row r="8" spans="1:12">
      <c r="A8" s="2"/>
      <c r="B8" s="2" t="s">
        <v>53</v>
      </c>
      <c r="C8" s="2" t="s">
        <v>54</v>
      </c>
      <c r="D8" s="2" t="s">
        <v>54</v>
      </c>
      <c r="E8" s="2" t="s">
        <v>54</v>
      </c>
      <c r="G8" s="9" t="e">
        <f t="shared" si="0"/>
        <v>#DIV/0!</v>
      </c>
      <c r="H8" s="9"/>
    </row>
    <row r="9" spans="1:12">
      <c r="A9" s="2"/>
      <c r="B9" s="11" t="s">
        <v>149</v>
      </c>
      <c r="C9" s="11" t="s">
        <v>54</v>
      </c>
      <c r="D9" s="11" t="s">
        <v>54</v>
      </c>
      <c r="E9" s="11" t="s">
        <v>54</v>
      </c>
      <c r="G9" s="9" t="e">
        <f t="shared" si="0"/>
        <v>#DIV/0!</v>
      </c>
      <c r="H9" s="9"/>
    </row>
    <row r="10" spans="1:12">
      <c r="A10" s="2"/>
      <c r="B10" s="2" t="s">
        <v>55</v>
      </c>
      <c r="C10" s="2" t="s">
        <v>54</v>
      </c>
      <c r="D10" s="2" t="s">
        <v>54</v>
      </c>
      <c r="E10" s="2" t="s">
        <v>54</v>
      </c>
      <c r="G10" s="9" t="e">
        <f t="shared" si="0"/>
        <v>#DIV/0!</v>
      </c>
      <c r="H10" s="9"/>
    </row>
    <row r="11" spans="1:12">
      <c r="A11" s="2" t="s">
        <v>16</v>
      </c>
      <c r="B11" s="2" t="s">
        <v>17</v>
      </c>
      <c r="C11" s="3">
        <v>3247</v>
      </c>
      <c r="D11" s="2">
        <v>537</v>
      </c>
      <c r="E11" s="3">
        <v>2384</v>
      </c>
      <c r="G11" s="9">
        <f t="shared" si="0"/>
        <v>2056</v>
      </c>
      <c r="H11" s="9"/>
    </row>
    <row r="12" spans="1:12">
      <c r="A12" s="2"/>
      <c r="B12" s="2" t="s">
        <v>56</v>
      </c>
      <c r="C12" s="3">
        <v>2822</v>
      </c>
      <c r="D12" s="2">
        <v>437</v>
      </c>
      <c r="E12" s="3">
        <v>2080</v>
      </c>
      <c r="G12" s="9">
        <f t="shared" si="0"/>
        <v>1779.6666666666667</v>
      </c>
      <c r="H12" s="9"/>
    </row>
    <row r="13" spans="1:12">
      <c r="A13" s="2"/>
      <c r="B13" s="2" t="s">
        <v>57</v>
      </c>
      <c r="C13" s="2">
        <v>425</v>
      </c>
      <c r="D13" s="2">
        <v>100</v>
      </c>
      <c r="E13" s="2">
        <v>304</v>
      </c>
      <c r="G13" s="9">
        <f t="shared" si="0"/>
        <v>276.33333333333331</v>
      </c>
      <c r="H13" s="9"/>
    </row>
    <row r="14" spans="1:12">
      <c r="A14" s="2"/>
      <c r="B14" s="2" t="s">
        <v>58</v>
      </c>
      <c r="C14" s="2" t="s">
        <v>59</v>
      </c>
      <c r="D14" s="2" t="s">
        <v>59</v>
      </c>
      <c r="E14" s="2" t="s">
        <v>59</v>
      </c>
      <c r="G14" s="9" t="e">
        <f t="shared" si="0"/>
        <v>#DIV/0!</v>
      </c>
      <c r="H14" s="9"/>
    </row>
    <row r="15" spans="1:12">
      <c r="A15" s="2" t="s">
        <v>24</v>
      </c>
      <c r="B15" s="2" t="s">
        <v>60</v>
      </c>
      <c r="C15" s="4">
        <v>0.15379999999999999</v>
      </c>
      <c r="D15" s="2" t="s">
        <v>61</v>
      </c>
      <c r="E15" s="4">
        <v>0.14299999999999999</v>
      </c>
      <c r="G15" s="9">
        <f t="shared" si="0"/>
        <v>0.14839999999999998</v>
      </c>
      <c r="H15" s="9"/>
    </row>
    <row r="16" spans="1:12">
      <c r="A16" s="2"/>
      <c r="B16" s="2" t="s">
        <v>62</v>
      </c>
      <c r="C16" s="2" t="s">
        <v>63</v>
      </c>
      <c r="D16" s="2" t="s">
        <v>63</v>
      </c>
      <c r="E16" s="2" t="s">
        <v>63</v>
      </c>
      <c r="G16" s="9" t="e">
        <f t="shared" si="0"/>
        <v>#DIV/0!</v>
      </c>
      <c r="H16" s="9"/>
    </row>
    <row r="17" spans="1:8">
      <c r="A17" s="2"/>
      <c r="B17" s="2" t="s">
        <v>64</v>
      </c>
      <c r="C17" s="2" t="s">
        <v>65</v>
      </c>
      <c r="D17" s="2" t="s">
        <v>65</v>
      </c>
      <c r="E17" s="2" t="s">
        <v>65</v>
      </c>
      <c r="G17" s="9" t="e">
        <f t="shared" si="0"/>
        <v>#DIV/0!</v>
      </c>
      <c r="H17" s="9"/>
    </row>
    <row r="18" spans="1:8">
      <c r="A18" s="2"/>
      <c r="B18" s="2" t="s">
        <v>31</v>
      </c>
      <c r="C18" s="2" t="s">
        <v>66</v>
      </c>
      <c r="D18" s="2" t="s">
        <v>66</v>
      </c>
      <c r="E18" s="2" t="s">
        <v>66</v>
      </c>
      <c r="G18" s="9" t="e">
        <f t="shared" si="0"/>
        <v>#DIV/0!</v>
      </c>
      <c r="H18" s="9"/>
    </row>
    <row r="19" spans="1:8">
      <c r="A19" s="2"/>
      <c r="B19" s="2" t="s">
        <v>67</v>
      </c>
      <c r="C19" s="2" t="s">
        <v>68</v>
      </c>
      <c r="D19" s="2" t="s">
        <v>69</v>
      </c>
      <c r="E19" s="2" t="s">
        <v>70</v>
      </c>
      <c r="G19" s="9" t="e">
        <f t="shared" si="0"/>
        <v>#DIV/0!</v>
      </c>
      <c r="H1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19" sqref="C19"/>
    </sheetView>
  </sheetViews>
  <sheetFormatPr defaultRowHeight="14.25"/>
  <cols>
    <col min="1" max="1" width="31.59765625" bestFit="1" customWidth="1"/>
    <col min="2" max="2" width="22.796875" bestFit="1" customWidth="1"/>
    <col min="3" max="3" width="36.796875" bestFit="1" customWidth="1"/>
    <col min="4" max="4" width="66.796875" bestFit="1" customWidth="1"/>
  </cols>
  <sheetData>
    <row r="1" spans="1:4">
      <c r="A1" s="6" t="s">
        <v>71</v>
      </c>
      <c r="B1" s="6" t="s">
        <v>3</v>
      </c>
      <c r="C1" s="6" t="s">
        <v>4</v>
      </c>
      <c r="D1" s="6" t="s">
        <v>72</v>
      </c>
    </row>
    <row r="2" spans="1:4">
      <c r="A2" s="2" t="s">
        <v>73</v>
      </c>
      <c r="B2" s="3">
        <v>63790</v>
      </c>
      <c r="C2" s="3">
        <v>62064</v>
      </c>
      <c r="D2" s="2" t="s">
        <v>74</v>
      </c>
    </row>
    <row r="3" spans="1:4">
      <c r="A3" s="2" t="s">
        <v>75</v>
      </c>
      <c r="B3" s="2" t="s">
        <v>76</v>
      </c>
      <c r="C3" s="2" t="s">
        <v>77</v>
      </c>
      <c r="D3" s="2" t="s">
        <v>78</v>
      </c>
    </row>
    <row r="4" spans="1:4">
      <c r="A4" s="2" t="s">
        <v>79</v>
      </c>
      <c r="B4" s="2" t="s">
        <v>80</v>
      </c>
      <c r="C4" s="2" t="s">
        <v>81</v>
      </c>
      <c r="D4" s="2" t="s">
        <v>82</v>
      </c>
    </row>
    <row r="5" spans="1:4">
      <c r="A5" s="2" t="s">
        <v>23</v>
      </c>
      <c r="B5" s="2">
        <v>36</v>
      </c>
      <c r="C5" s="2">
        <v>50</v>
      </c>
      <c r="D5" s="2" t="s">
        <v>83</v>
      </c>
    </row>
    <row r="6" spans="1:4">
      <c r="A6" s="2" t="s">
        <v>84</v>
      </c>
      <c r="B6" s="2">
        <v>29</v>
      </c>
      <c r="C6" s="2">
        <v>29</v>
      </c>
      <c r="D6" s="2" t="s">
        <v>85</v>
      </c>
    </row>
    <row r="7" spans="1:4">
      <c r="A7" s="2" t="s">
        <v>86</v>
      </c>
      <c r="B7" s="2">
        <v>12</v>
      </c>
      <c r="C7" s="2">
        <v>79</v>
      </c>
      <c r="D7" s="2" t="s">
        <v>87</v>
      </c>
    </row>
    <row r="8" spans="1:4">
      <c r="A8" s="2" t="s">
        <v>88</v>
      </c>
      <c r="B8" s="2">
        <v>3</v>
      </c>
      <c r="C8" s="2">
        <v>4</v>
      </c>
      <c r="D8" s="2" t="s">
        <v>89</v>
      </c>
    </row>
    <row r="9" spans="1:4">
      <c r="A9" s="2" t="s">
        <v>90</v>
      </c>
      <c r="B9" s="2">
        <v>779</v>
      </c>
      <c r="C9" s="3">
        <v>1448</v>
      </c>
      <c r="D9" s="2" t="s">
        <v>91</v>
      </c>
    </row>
    <row r="10" spans="1:4">
      <c r="A10" s="2" t="s">
        <v>92</v>
      </c>
      <c r="B10" s="2" t="s">
        <v>61</v>
      </c>
      <c r="C10" s="2" t="s">
        <v>93</v>
      </c>
      <c r="D10" s="2" t="s">
        <v>94</v>
      </c>
    </row>
    <row r="11" spans="1:4">
      <c r="A11" s="2" t="s">
        <v>95</v>
      </c>
      <c r="B11" s="2" t="s">
        <v>96</v>
      </c>
      <c r="C11" s="2" t="s">
        <v>97</v>
      </c>
      <c r="D11" s="2" t="s">
        <v>98</v>
      </c>
    </row>
    <row r="12" spans="1:4">
      <c r="A12" s="2" t="s">
        <v>99</v>
      </c>
      <c r="B12" s="2" t="s">
        <v>61</v>
      </c>
      <c r="C12" s="2" t="s">
        <v>100</v>
      </c>
      <c r="D12" s="2" t="s">
        <v>101</v>
      </c>
    </row>
    <row r="13" spans="1:4">
      <c r="A13" s="2" t="s">
        <v>102</v>
      </c>
      <c r="B13" s="2" t="s">
        <v>61</v>
      </c>
      <c r="C13" s="2" t="s">
        <v>103</v>
      </c>
      <c r="D13" s="2" t="s">
        <v>104</v>
      </c>
    </row>
    <row r="17" spans="3:3">
      <c r="C17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4" sqref="B4:C4"/>
    </sheetView>
  </sheetViews>
  <sheetFormatPr defaultRowHeight="14.25"/>
  <cols>
    <col min="1" max="1" width="39.73046875" bestFit="1" customWidth="1"/>
    <col min="2" max="2" width="35.19921875" bestFit="1" customWidth="1"/>
    <col min="3" max="3" width="19.59765625" bestFit="1" customWidth="1"/>
    <col min="4" max="4" width="63.53125" bestFit="1" customWidth="1"/>
  </cols>
  <sheetData>
    <row r="1" spans="1:4">
      <c r="A1" s="6" t="s">
        <v>105</v>
      </c>
      <c r="B1" s="6" t="s">
        <v>3</v>
      </c>
      <c r="C1" s="6" t="s">
        <v>4</v>
      </c>
      <c r="D1" s="6" t="s">
        <v>72</v>
      </c>
    </row>
    <row r="2" spans="1:4">
      <c r="A2" s="2" t="s">
        <v>106</v>
      </c>
      <c r="B2" s="4">
        <v>0.22220000000000001</v>
      </c>
      <c r="C2" s="4">
        <v>0.22220000000000001</v>
      </c>
      <c r="D2" s="2" t="s">
        <v>107</v>
      </c>
    </row>
    <row r="3" spans="1:4">
      <c r="A3" s="2" t="s">
        <v>108</v>
      </c>
      <c r="B3" s="2" t="s">
        <v>27</v>
      </c>
      <c r="C3" s="2" t="s">
        <v>27</v>
      </c>
      <c r="D3" s="2" t="s">
        <v>109</v>
      </c>
    </row>
    <row r="4" spans="1:4">
      <c r="A4" s="2" t="s">
        <v>110</v>
      </c>
      <c r="B4" s="2">
        <v>15</v>
      </c>
      <c r="C4" s="2">
        <v>7</v>
      </c>
      <c r="D4" s="2" t="s">
        <v>111</v>
      </c>
    </row>
    <row r="5" spans="1:4">
      <c r="A5" s="2" t="s">
        <v>112</v>
      </c>
      <c r="B5" s="3">
        <v>12842738</v>
      </c>
      <c r="C5" s="3">
        <v>14761269</v>
      </c>
      <c r="D5" s="2" t="s">
        <v>113</v>
      </c>
    </row>
    <row r="6" spans="1:4">
      <c r="A6" s="2" t="s">
        <v>114</v>
      </c>
      <c r="B6" s="2" t="s">
        <v>115</v>
      </c>
      <c r="C6" s="2" t="s">
        <v>116</v>
      </c>
      <c r="D6" s="2" t="s">
        <v>117</v>
      </c>
    </row>
    <row r="7" spans="1:4">
      <c r="A7" s="2" t="s">
        <v>118</v>
      </c>
      <c r="B7" s="2" t="s">
        <v>93</v>
      </c>
      <c r="C7" s="2" t="s">
        <v>93</v>
      </c>
      <c r="D7" s="2" t="s">
        <v>119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B8" sqref="B8:C8"/>
    </sheetView>
  </sheetViews>
  <sheetFormatPr defaultRowHeight="14.25"/>
  <cols>
    <col min="1" max="1" width="50.59765625" bestFit="1" customWidth="1"/>
    <col min="2" max="2" width="27.06640625" bestFit="1" customWidth="1"/>
    <col min="3" max="3" width="20.73046875" bestFit="1" customWidth="1"/>
    <col min="4" max="4" width="100.46484375" bestFit="1" customWidth="1"/>
    <col min="5" max="5" width="10.59765625" bestFit="1" customWidth="1"/>
  </cols>
  <sheetData>
    <row r="1" spans="1:5">
      <c r="A1" s="6" t="s">
        <v>105</v>
      </c>
      <c r="B1" s="6" t="s">
        <v>3</v>
      </c>
      <c r="C1" s="6" t="s">
        <v>4</v>
      </c>
      <c r="D1" s="6" t="s">
        <v>72</v>
      </c>
      <c r="E1" s="6" t="s">
        <v>34</v>
      </c>
    </row>
    <row r="2" spans="1:5">
      <c r="A2" s="2" t="s">
        <v>6</v>
      </c>
      <c r="B2" s="3">
        <v>732291</v>
      </c>
      <c r="C2" s="3">
        <v>747243</v>
      </c>
      <c r="D2" s="2" t="s">
        <v>120</v>
      </c>
      <c r="E2" s="8">
        <f>AVERAGE(B2:C2)</f>
        <v>739767</v>
      </c>
    </row>
    <row r="3" spans="1:5">
      <c r="A3" s="11" t="s">
        <v>147</v>
      </c>
      <c r="B3" s="3">
        <v>2937330</v>
      </c>
      <c r="C3" s="3">
        <v>729353650</v>
      </c>
      <c r="D3" s="2"/>
      <c r="E3" s="8">
        <f>AVERAGE(B3:C3)</f>
        <v>366145490</v>
      </c>
    </row>
    <row r="4" spans="1:5">
      <c r="A4" s="11" t="s">
        <v>148</v>
      </c>
      <c r="B4" s="3">
        <v>4773490</v>
      </c>
      <c r="C4" s="3">
        <v>742469610</v>
      </c>
      <c r="D4" s="2"/>
      <c r="E4" s="8">
        <f>AVERAGE(B4:C4)</f>
        <v>373621550</v>
      </c>
    </row>
    <row r="5" spans="1:5">
      <c r="A5" s="2" t="s">
        <v>38</v>
      </c>
      <c r="B5" s="3">
        <v>156886</v>
      </c>
      <c r="C5" s="3">
        <v>186223</v>
      </c>
      <c r="D5" s="2" t="s">
        <v>121</v>
      </c>
      <c r="E5" s="8">
        <f t="shared" ref="E5:E14" si="0">AVERAGE(B5:C5)</f>
        <v>171554.5</v>
      </c>
    </row>
    <row r="6" spans="1:5">
      <c r="A6" s="2" t="s">
        <v>39</v>
      </c>
      <c r="B6" s="3">
        <v>52669</v>
      </c>
      <c r="C6" s="3">
        <v>61144</v>
      </c>
      <c r="D6" s="2" t="s">
        <v>122</v>
      </c>
      <c r="E6" s="8">
        <f t="shared" si="0"/>
        <v>56906.5</v>
      </c>
    </row>
    <row r="7" spans="1:5">
      <c r="A7" s="2" t="s">
        <v>40</v>
      </c>
      <c r="B7" s="3">
        <v>576188</v>
      </c>
      <c r="C7" s="3">
        <v>569766</v>
      </c>
      <c r="D7" s="2" t="s">
        <v>123</v>
      </c>
      <c r="E7" s="8">
        <f t="shared" si="0"/>
        <v>572977</v>
      </c>
    </row>
    <row r="8" spans="1:5">
      <c r="A8" s="2" t="s">
        <v>13</v>
      </c>
      <c r="B8" s="3">
        <v>1899</v>
      </c>
      <c r="C8" s="3">
        <v>2480</v>
      </c>
      <c r="D8" s="2" t="s">
        <v>124</v>
      </c>
      <c r="E8" s="8">
        <f t="shared" si="0"/>
        <v>2189.5</v>
      </c>
    </row>
    <row r="9" spans="1:5">
      <c r="A9" s="11" t="s">
        <v>149</v>
      </c>
      <c r="B9" s="3">
        <v>113.8</v>
      </c>
      <c r="C9" s="14" t="s">
        <v>150</v>
      </c>
      <c r="D9" s="11" t="s">
        <v>151</v>
      </c>
      <c r="E9" s="8"/>
    </row>
    <row r="10" spans="1:5">
      <c r="A10" s="2" t="s">
        <v>12</v>
      </c>
      <c r="B10" s="3">
        <v>478418</v>
      </c>
      <c r="C10" s="3">
        <v>456540</v>
      </c>
      <c r="D10" s="2" t="s">
        <v>125</v>
      </c>
      <c r="E10" s="8">
        <f t="shared" si="0"/>
        <v>467479</v>
      </c>
    </row>
    <row r="11" spans="1:5">
      <c r="A11" s="2" t="s">
        <v>126</v>
      </c>
      <c r="B11" s="2" t="s">
        <v>127</v>
      </c>
      <c r="C11" s="2" t="s">
        <v>128</v>
      </c>
      <c r="D11" s="2" t="s">
        <v>129</v>
      </c>
      <c r="E11" s="8" t="e">
        <f t="shared" si="0"/>
        <v>#DIV/0!</v>
      </c>
    </row>
    <row r="12" spans="1:5">
      <c r="A12" s="2" t="s">
        <v>130</v>
      </c>
      <c r="B12" s="2" t="s">
        <v>61</v>
      </c>
      <c r="C12" s="2" t="s">
        <v>131</v>
      </c>
      <c r="D12" s="2" t="s">
        <v>132</v>
      </c>
      <c r="E12" s="8" t="e">
        <f t="shared" si="0"/>
        <v>#DIV/0!</v>
      </c>
    </row>
    <row r="13" spans="1:5">
      <c r="A13" s="2" t="s">
        <v>133</v>
      </c>
      <c r="B13" s="2" t="s">
        <v>134</v>
      </c>
      <c r="C13" s="2" t="s">
        <v>135</v>
      </c>
      <c r="D13" s="2" t="s">
        <v>136</v>
      </c>
      <c r="E13" s="8" t="e">
        <f t="shared" si="0"/>
        <v>#DIV/0!</v>
      </c>
    </row>
    <row r="14" spans="1:5">
      <c r="A14" s="2" t="s">
        <v>114</v>
      </c>
      <c r="B14" s="2" t="s">
        <v>137</v>
      </c>
      <c r="C14" s="2" t="s">
        <v>138</v>
      </c>
      <c r="D14" s="2" t="s">
        <v>139</v>
      </c>
      <c r="E14" s="8" t="e">
        <f t="shared" si="0"/>
        <v>#DIV/0!</v>
      </c>
    </row>
    <row r="16" spans="1:5">
      <c r="A16" s="13" t="s">
        <v>141</v>
      </c>
    </row>
    <row r="17" spans="1:1">
      <c r="A17" s="13" t="s">
        <v>142</v>
      </c>
    </row>
    <row r="18" spans="1:1">
      <c r="A18" s="15" t="s">
        <v>140</v>
      </c>
    </row>
    <row r="19" spans="1:1">
      <c r="A19" t="s">
        <v>143</v>
      </c>
    </row>
    <row r="20" spans="1:1">
      <c r="A20" t="s">
        <v>144</v>
      </c>
    </row>
    <row r="21" spans="1:1">
      <c r="A21" t="s">
        <v>145</v>
      </c>
    </row>
    <row r="22" spans="1:1">
      <c r="A22" t="s">
        <v>146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"/>
  <sheetViews>
    <sheetView tabSelected="1" topLeftCell="W1" zoomScale="85" zoomScaleNormal="85" workbookViewId="0">
      <selection activeCell="F42" sqref="F42"/>
    </sheetView>
  </sheetViews>
  <sheetFormatPr defaultRowHeight="14.25"/>
  <cols>
    <col min="1" max="1" width="13.33203125" bestFit="1" customWidth="1"/>
    <col min="2" max="2" width="42.06640625" bestFit="1" customWidth="1"/>
    <col min="3" max="5" width="12.19921875" bestFit="1" customWidth="1"/>
    <col min="6" max="6" width="15.19921875" bestFit="1" customWidth="1"/>
    <col min="7" max="7" width="10.59765625" bestFit="1" customWidth="1"/>
    <col min="8" max="8" width="10.59765625" customWidth="1"/>
    <col min="10" max="10" width="15" bestFit="1" customWidth="1"/>
    <col min="11" max="11" width="19.33203125" bestFit="1" customWidth="1"/>
    <col min="12" max="12" width="9.59765625" bestFit="1" customWidth="1"/>
    <col min="13" max="13" width="66.06640625" bestFit="1" customWidth="1"/>
    <col min="14" max="14" width="18.265625" bestFit="1" customWidth="1"/>
    <col min="15" max="15" width="14.06640625" bestFit="1" customWidth="1"/>
    <col min="16" max="16" width="15.33203125" bestFit="1" customWidth="1"/>
    <col min="17" max="17" width="13.59765625" customWidth="1"/>
    <col min="18" max="18" width="11.06640625" customWidth="1"/>
    <col min="19" max="19" width="14.46484375" bestFit="1" customWidth="1"/>
    <col min="20" max="20" width="18.59765625" bestFit="1" customWidth="1"/>
    <col min="21" max="21" width="71.06640625" bestFit="1" customWidth="1"/>
    <col min="24" max="24" width="14.265625" bestFit="1" customWidth="1"/>
    <col min="25" max="25" width="46" bestFit="1" customWidth="1"/>
    <col min="26" max="27" width="17.33203125" bestFit="1" customWidth="1"/>
    <col min="28" max="28" width="35.06640625" bestFit="1" customWidth="1"/>
    <col min="29" max="29" width="9.73046875" bestFit="1" customWidth="1"/>
    <col min="31" max="31" width="14" bestFit="1" customWidth="1"/>
  </cols>
  <sheetData>
    <row r="1" spans="1:32">
      <c r="A1" s="17" t="s">
        <v>162</v>
      </c>
      <c r="L1" s="28" t="s">
        <v>159</v>
      </c>
      <c r="M1" s="22"/>
      <c r="N1" s="22"/>
      <c r="O1" s="22"/>
      <c r="P1" s="22"/>
      <c r="Q1" s="22"/>
      <c r="R1" s="22"/>
      <c r="S1" s="22"/>
      <c r="T1" s="22"/>
      <c r="U1" s="22"/>
      <c r="X1" s="39" t="s">
        <v>161</v>
      </c>
      <c r="Y1" s="22"/>
      <c r="Z1" s="22"/>
      <c r="AA1" s="22"/>
      <c r="AB1" s="22"/>
      <c r="AC1" s="22"/>
      <c r="AD1" s="22"/>
    </row>
    <row r="2" spans="1:32">
      <c r="A2" t="s">
        <v>173</v>
      </c>
      <c r="B2" t="s">
        <v>169</v>
      </c>
      <c r="C2" s="16" t="s">
        <v>170</v>
      </c>
      <c r="D2" s="16" t="s">
        <v>171</v>
      </c>
      <c r="E2" s="16" t="s">
        <v>172</v>
      </c>
      <c r="G2" s="16" t="s">
        <v>228</v>
      </c>
      <c r="H2" s="16"/>
      <c r="I2" s="16" t="s">
        <v>227</v>
      </c>
      <c r="J2" s="16" t="s">
        <v>252</v>
      </c>
      <c r="K2" s="16" t="s">
        <v>253</v>
      </c>
      <c r="L2" s="22" t="s">
        <v>173</v>
      </c>
      <c r="M2" s="22" t="s">
        <v>169</v>
      </c>
      <c r="N2" s="22" t="s">
        <v>170</v>
      </c>
      <c r="O2" s="22" t="s">
        <v>171</v>
      </c>
      <c r="P2" s="22" t="s">
        <v>172</v>
      </c>
      <c r="Q2" s="22" t="s">
        <v>229</v>
      </c>
      <c r="R2" s="22" t="s">
        <v>227</v>
      </c>
      <c r="S2" s="22" t="s">
        <v>254</v>
      </c>
      <c r="T2" s="22" t="s">
        <v>253</v>
      </c>
      <c r="U2" s="22" t="s">
        <v>176</v>
      </c>
      <c r="X2" s="22" t="s">
        <v>173</v>
      </c>
      <c r="Y2" s="22" t="s">
        <v>169</v>
      </c>
      <c r="Z2" s="22" t="s">
        <v>170</v>
      </c>
      <c r="AA2" s="22" t="s">
        <v>171</v>
      </c>
      <c r="AB2" s="22" t="s">
        <v>172</v>
      </c>
      <c r="AC2" s="38" t="s">
        <v>230</v>
      </c>
      <c r="AD2" s="38" t="s">
        <v>227</v>
      </c>
      <c r="AE2" s="22" t="s">
        <v>251</v>
      </c>
      <c r="AF2" s="22" t="s">
        <v>255</v>
      </c>
    </row>
    <row r="3" spans="1:32">
      <c r="B3" t="s">
        <v>152</v>
      </c>
      <c r="C3" s="2">
        <v>0</v>
      </c>
      <c r="D3" s="3">
        <v>51481440</v>
      </c>
      <c r="E3" s="3">
        <v>92296800</v>
      </c>
      <c r="F3" s="32">
        <f t="shared" ref="F3:F9" si="0">AVERAGE(C3:E3)</f>
        <v>47926080</v>
      </c>
      <c r="G3" s="43">
        <v>0.14285714285714288</v>
      </c>
      <c r="H3" s="43"/>
      <c r="I3" s="33">
        <v>4</v>
      </c>
      <c r="J3" s="27">
        <f>G3*I3</f>
        <v>0.57142857142857151</v>
      </c>
      <c r="K3" s="27">
        <f>J3*Sheet1!$C$2</f>
        <v>0.23811428571428575</v>
      </c>
      <c r="L3" s="22"/>
      <c r="M3" s="22" t="s">
        <v>278</v>
      </c>
      <c r="N3" s="49">
        <f>Sheet2!I19</f>
        <v>0.27529999999999999</v>
      </c>
      <c r="O3" s="49">
        <f>Sheet2!J19</f>
        <v>0.28239999999999998</v>
      </c>
      <c r="P3" s="49">
        <f>Sheet2!K19</f>
        <v>0.28149999999999997</v>
      </c>
      <c r="Q3" s="44">
        <v>0.16666666666666669</v>
      </c>
      <c r="R3" s="22">
        <v>4</v>
      </c>
      <c r="S3" s="27">
        <f>R3*Q3</f>
        <v>0.66666666666666674</v>
      </c>
      <c r="T3" s="27">
        <f>' compiled '!S3*Sheet1!$C$3</f>
        <v>0.22220000000000001</v>
      </c>
      <c r="U3" s="22" t="s">
        <v>182</v>
      </c>
      <c r="X3" s="22"/>
      <c r="Y3" s="22" t="s">
        <v>163</v>
      </c>
      <c r="Z3" s="22"/>
      <c r="AA3" s="22" t="s">
        <v>197</v>
      </c>
      <c r="AB3" s="22" t="s">
        <v>198</v>
      </c>
      <c r="AC3" s="44">
        <v>0.16666666666666669</v>
      </c>
      <c r="AD3" s="22">
        <v>3</v>
      </c>
      <c r="AE3" s="19">
        <f>AC3*AD3</f>
        <v>0.5</v>
      </c>
      <c r="AF3">
        <f>AE3*Sheet1!$C$4</f>
        <v>0.125</v>
      </c>
    </row>
    <row r="4" spans="1:32">
      <c r="B4" t="s">
        <v>153</v>
      </c>
      <c r="C4" s="3">
        <v>404549257</v>
      </c>
      <c r="D4" s="3">
        <v>711778061</v>
      </c>
      <c r="E4" s="3">
        <v>649020355</v>
      </c>
      <c r="F4" s="8">
        <f t="shared" si="0"/>
        <v>588449224.33333337</v>
      </c>
      <c r="G4" s="43">
        <v>0.14285714285714288</v>
      </c>
      <c r="H4" s="43"/>
      <c r="I4" s="3">
        <v>2</v>
      </c>
      <c r="J4" s="27">
        <f>G4*I4</f>
        <v>0.28571428571428575</v>
      </c>
      <c r="K4" s="27">
        <f>J4*Sheet1!$C$2</f>
        <v>0.11905714285714288</v>
      </c>
      <c r="L4" s="22"/>
      <c r="M4" s="2" t="s">
        <v>23</v>
      </c>
      <c r="N4" s="22">
        <v>2</v>
      </c>
      <c r="O4" s="22">
        <v>1</v>
      </c>
      <c r="P4" s="22">
        <v>1</v>
      </c>
      <c r="Q4" s="44">
        <v>0.16666666666666669</v>
      </c>
      <c r="R4" s="22">
        <v>3</v>
      </c>
      <c r="S4" s="27">
        <f t="shared" ref="S4:S8" si="1">R4*Q4</f>
        <v>0.5</v>
      </c>
      <c r="T4" s="27">
        <f>' compiled '!S4*Sheet1!$C$3</f>
        <v>0.16664999999999999</v>
      </c>
      <c r="U4" s="22" t="s">
        <v>160</v>
      </c>
      <c r="X4" s="22"/>
      <c r="Y4" s="22" t="s">
        <v>201</v>
      </c>
      <c r="Z4" s="22" t="s">
        <v>200</v>
      </c>
      <c r="AA4" s="22" t="s">
        <v>202</v>
      </c>
      <c r="AB4" s="22" t="s">
        <v>203</v>
      </c>
      <c r="AC4" s="44">
        <v>0.16666666666666669</v>
      </c>
      <c r="AD4" s="22">
        <v>2</v>
      </c>
      <c r="AE4" s="19">
        <f t="shared" ref="AE4:AE8" si="2">AC4*AD4</f>
        <v>0.33333333333333337</v>
      </c>
      <c r="AF4">
        <f>AE4*Sheet1!$C$4</f>
        <v>8.3333333333333343E-2</v>
      </c>
    </row>
    <row r="5" spans="1:32">
      <c r="B5" t="s">
        <v>154</v>
      </c>
      <c r="C5" s="3">
        <v>166362</v>
      </c>
      <c r="D5" s="3">
        <v>147284</v>
      </c>
      <c r="E5" s="3">
        <v>170806</v>
      </c>
      <c r="F5" s="8">
        <f t="shared" si="0"/>
        <v>161484</v>
      </c>
      <c r="G5" s="43">
        <v>0.14285714285714288</v>
      </c>
      <c r="H5" s="43"/>
      <c r="I5" s="3">
        <v>3</v>
      </c>
      <c r="J5" s="27">
        <f t="shared" ref="J5:J9" si="3">G5*I5</f>
        <v>0.4285714285714286</v>
      </c>
      <c r="K5" s="27">
        <f>J5*Sheet1!$C$2</f>
        <v>0.17858571428571429</v>
      </c>
      <c r="L5" s="22"/>
      <c r="M5" s="2" t="s">
        <v>86</v>
      </c>
      <c r="N5" s="2"/>
      <c r="O5" s="2">
        <v>2</v>
      </c>
      <c r="P5" s="2">
        <v>1</v>
      </c>
      <c r="Q5" s="44">
        <v>0.16666666666666669</v>
      </c>
      <c r="R5" s="21">
        <v>4</v>
      </c>
      <c r="S5" s="27">
        <f t="shared" si="1"/>
        <v>0.66666666666666674</v>
      </c>
      <c r="T5" s="27">
        <f>' compiled '!S5*Sheet1!$C$3</f>
        <v>0.22220000000000001</v>
      </c>
      <c r="U5" s="22"/>
      <c r="X5" s="22"/>
      <c r="Y5" s="22" t="s">
        <v>164</v>
      </c>
      <c r="Z5" s="22" t="s">
        <v>204</v>
      </c>
      <c r="AA5" s="22" t="s">
        <v>205</v>
      </c>
      <c r="AB5" s="22" t="s">
        <v>206</v>
      </c>
      <c r="AC5" s="44">
        <v>0.16666666666666669</v>
      </c>
      <c r="AD5" s="22">
        <v>3</v>
      </c>
      <c r="AE5" s="19">
        <f t="shared" si="2"/>
        <v>0.5</v>
      </c>
      <c r="AF5">
        <f>AE5*Sheet1!$C$4</f>
        <v>0.125</v>
      </c>
    </row>
    <row r="6" spans="1:32">
      <c r="B6" t="s">
        <v>155</v>
      </c>
      <c r="C6" s="3">
        <v>16477</v>
      </c>
      <c r="D6" s="3">
        <v>15639</v>
      </c>
      <c r="E6" s="3">
        <v>15906</v>
      </c>
      <c r="F6" s="8">
        <f t="shared" si="0"/>
        <v>16007.333333333334</v>
      </c>
      <c r="G6" s="43">
        <v>0.14285714285714288</v>
      </c>
      <c r="H6" s="43"/>
      <c r="I6" s="3">
        <v>3</v>
      </c>
      <c r="J6" s="27">
        <f t="shared" si="3"/>
        <v>0.4285714285714286</v>
      </c>
      <c r="K6" s="27">
        <f>J6*Sheet1!$C$2</f>
        <v>0.17858571428571429</v>
      </c>
      <c r="L6" s="22"/>
      <c r="M6" s="2" t="s">
        <v>88</v>
      </c>
      <c r="N6" s="22"/>
      <c r="O6" s="22">
        <v>0</v>
      </c>
      <c r="P6" s="22">
        <v>0</v>
      </c>
      <c r="Q6" s="44">
        <v>0.16666666666666669</v>
      </c>
      <c r="R6" s="22">
        <v>3</v>
      </c>
      <c r="S6" s="27">
        <f t="shared" si="1"/>
        <v>0.5</v>
      </c>
      <c r="T6" s="27">
        <f>' compiled '!S6*Sheet1!$C$3</f>
        <v>0.16664999999999999</v>
      </c>
      <c r="U6" s="22"/>
      <c r="X6" s="22"/>
      <c r="Y6" s="22" t="s">
        <v>165</v>
      </c>
      <c r="Z6" s="2" t="s">
        <v>29</v>
      </c>
      <c r="AA6" s="2" t="s">
        <v>29</v>
      </c>
      <c r="AB6" s="2" t="s">
        <v>30</v>
      </c>
      <c r="AC6" s="44">
        <v>0.16666666666666669</v>
      </c>
      <c r="AD6" s="22">
        <v>4</v>
      </c>
      <c r="AE6" s="19">
        <f t="shared" si="2"/>
        <v>0.66666666666666674</v>
      </c>
      <c r="AF6">
        <f>AE6*Sheet1!$C$4</f>
        <v>0.16666666666666669</v>
      </c>
    </row>
    <row r="7" spans="1:32">
      <c r="B7" t="s">
        <v>156</v>
      </c>
      <c r="C7" s="3">
        <v>253468</v>
      </c>
      <c r="D7" s="3">
        <v>284238</v>
      </c>
      <c r="E7" s="3">
        <v>309989</v>
      </c>
      <c r="F7" s="8">
        <f t="shared" si="0"/>
        <v>282565</v>
      </c>
      <c r="G7" s="43">
        <v>0.14285714285714288</v>
      </c>
      <c r="H7" s="43"/>
      <c r="I7" s="3">
        <v>3</v>
      </c>
      <c r="J7" s="27">
        <f t="shared" si="3"/>
        <v>0.4285714285714286</v>
      </c>
      <c r="K7" s="27">
        <f>J7*Sheet1!$C$2</f>
        <v>0.17858571428571429</v>
      </c>
      <c r="L7" s="22"/>
      <c r="M7" s="22" t="s">
        <v>195</v>
      </c>
      <c r="N7" s="22"/>
      <c r="O7" s="22" t="s">
        <v>317</v>
      </c>
      <c r="P7" s="22" t="s">
        <v>318</v>
      </c>
      <c r="Q7" s="44">
        <v>0.16666666666666669</v>
      </c>
      <c r="R7" s="22">
        <v>2</v>
      </c>
      <c r="S7" s="27">
        <f t="shared" si="1"/>
        <v>0.33333333333333337</v>
      </c>
      <c r="T7" s="27">
        <f>' compiled '!S7*Sheet1!$C$3</f>
        <v>0.1111</v>
      </c>
      <c r="U7" s="22"/>
      <c r="X7" s="22"/>
      <c r="Y7" s="22" t="s">
        <v>166</v>
      </c>
      <c r="Z7" s="22">
        <v>4</v>
      </c>
      <c r="AA7" s="22">
        <v>3</v>
      </c>
      <c r="AB7" s="22">
        <v>2</v>
      </c>
      <c r="AC7" s="44">
        <v>0.16666666666666669</v>
      </c>
      <c r="AD7" s="22">
        <v>2.5</v>
      </c>
      <c r="AE7" s="19">
        <f t="shared" si="2"/>
        <v>0.41666666666666674</v>
      </c>
      <c r="AF7">
        <f>AE7*Sheet1!$C$4</f>
        <v>0.10416666666666669</v>
      </c>
    </row>
    <row r="8" spans="1:32">
      <c r="B8" t="s">
        <v>157</v>
      </c>
      <c r="C8" s="3">
        <v>131350</v>
      </c>
      <c r="D8" s="3">
        <v>84477</v>
      </c>
      <c r="E8" s="3">
        <v>87154</v>
      </c>
      <c r="F8" s="8">
        <f t="shared" si="0"/>
        <v>100993.66666666667</v>
      </c>
      <c r="G8" s="43">
        <v>0.14285714285714288</v>
      </c>
      <c r="H8" s="43"/>
      <c r="I8" s="3">
        <v>3</v>
      </c>
      <c r="J8" s="27">
        <f t="shared" si="3"/>
        <v>0.4285714285714286</v>
      </c>
      <c r="K8" s="27">
        <f>J8*Sheet1!$C$2</f>
        <v>0.17858571428571429</v>
      </c>
      <c r="L8" s="22"/>
      <c r="M8" s="11" t="s">
        <v>196</v>
      </c>
      <c r="O8" t="s">
        <v>320</v>
      </c>
      <c r="P8" t="s">
        <v>319</v>
      </c>
      <c r="Q8" s="44">
        <v>0.16666666666666669</v>
      </c>
      <c r="R8" s="22">
        <v>2</v>
      </c>
      <c r="S8" s="27">
        <f t="shared" si="1"/>
        <v>0.33333333333333337</v>
      </c>
      <c r="T8" s="27">
        <f>' compiled '!S8*Sheet1!$C$3</f>
        <v>0.1111</v>
      </c>
      <c r="X8" s="22"/>
      <c r="Y8" s="22" t="s">
        <v>167</v>
      </c>
      <c r="Z8" s="22" t="s">
        <v>204</v>
      </c>
      <c r="AA8" s="22" t="s">
        <v>207</v>
      </c>
      <c r="AB8" s="22" t="s">
        <v>208</v>
      </c>
      <c r="AC8" s="44">
        <v>0.16666666666666669</v>
      </c>
      <c r="AD8" s="22">
        <v>3</v>
      </c>
      <c r="AE8" s="19">
        <f t="shared" si="2"/>
        <v>0.5</v>
      </c>
      <c r="AF8">
        <f>AE8*Sheet1!$C$4</f>
        <v>0.125</v>
      </c>
    </row>
    <row r="9" spans="1:32">
      <c r="B9" t="s">
        <v>158</v>
      </c>
      <c r="C9" s="2">
        <v>20.52</v>
      </c>
      <c r="D9" s="2">
        <v>17.18</v>
      </c>
      <c r="E9" s="2">
        <v>234.67</v>
      </c>
      <c r="F9" s="8">
        <f t="shared" si="0"/>
        <v>90.79</v>
      </c>
      <c r="G9" s="43">
        <v>0.14285714285714288</v>
      </c>
      <c r="H9" s="43"/>
      <c r="I9" s="29">
        <v>4.5</v>
      </c>
      <c r="J9" s="27">
        <f t="shared" si="3"/>
        <v>0.6428571428571429</v>
      </c>
      <c r="K9" s="27">
        <f>J9*Sheet1!$C$2</f>
        <v>0.26787857142857147</v>
      </c>
      <c r="Q9" s="38"/>
      <c r="R9" s="36">
        <f>SUM(R3:R8)</f>
        <v>18</v>
      </c>
      <c r="S9" s="36">
        <f>SUM(S3:S8)</f>
        <v>3.0000000000000004</v>
      </c>
      <c r="T9" s="27">
        <f>S9*Sheet1!C3</f>
        <v>0.99990000000000012</v>
      </c>
      <c r="X9" s="22"/>
      <c r="Y9" s="22" t="s">
        <v>160</v>
      </c>
      <c r="Z9" s="22"/>
      <c r="AA9" s="22"/>
      <c r="AB9" s="22"/>
      <c r="AC9" s="38">
        <f>SUM(AC3:AC8)</f>
        <v>1.0000000000000002</v>
      </c>
      <c r="AD9" s="36">
        <f>SUM(AD3:AD8)/6</f>
        <v>2.9166666666666665</v>
      </c>
      <c r="AE9" s="36">
        <f>SUM(AE3:AE8)</f>
        <v>2.916666666666667</v>
      </c>
      <c r="AF9" s="36">
        <f>AE9*Sheet1!C4</f>
        <v>0.72916666666666674</v>
      </c>
    </row>
    <row r="10" spans="1:32">
      <c r="I10" s="34">
        <f>SUM(I3:I9)/7</f>
        <v>3.2142857142857144</v>
      </c>
      <c r="J10" s="36">
        <f>SUM(J3:J9)</f>
        <v>3.2142857142857149</v>
      </c>
      <c r="K10" s="45">
        <f>J10*Sheet1!C2</f>
        <v>1.3393928571428575</v>
      </c>
      <c r="L10" s="22" t="s">
        <v>160</v>
      </c>
      <c r="M10" s="22"/>
      <c r="N10" s="22" t="s">
        <v>170</v>
      </c>
      <c r="O10" s="22" t="s">
        <v>171</v>
      </c>
      <c r="P10" s="22" t="s">
        <v>172</v>
      </c>
      <c r="Q10" s="22"/>
      <c r="R10" s="22"/>
      <c r="S10" s="22"/>
      <c r="T10" s="22"/>
      <c r="U10" s="22"/>
      <c r="X10" s="22"/>
      <c r="Y10" s="22"/>
      <c r="Z10" s="22"/>
      <c r="AA10" s="22"/>
      <c r="AB10" s="22"/>
      <c r="AC10" s="22"/>
      <c r="AD10" s="22"/>
      <c r="AE10" s="19"/>
    </row>
    <row r="11" spans="1:32">
      <c r="A11" t="s">
        <v>168</v>
      </c>
      <c r="B11" t="s">
        <v>152</v>
      </c>
      <c r="C11" s="3">
        <v>19710</v>
      </c>
      <c r="D11" s="3">
        <v>51481</v>
      </c>
      <c r="E11" s="3">
        <v>92296</v>
      </c>
      <c r="F11" s="9">
        <f t="shared" ref="F11:F17" si="4">AVERAGE(C11:E11)</f>
        <v>54495.666666666664</v>
      </c>
      <c r="G11" s="44">
        <v>0.14285714285714288</v>
      </c>
      <c r="H11" s="31"/>
      <c r="I11" s="29">
        <v>2.5</v>
      </c>
      <c r="J11" s="29">
        <f>G11*I11</f>
        <v>0.35714285714285721</v>
      </c>
      <c r="K11" s="29">
        <f>J11*Sheet1!$C$2</f>
        <v>0.1488214285714286</v>
      </c>
      <c r="L11" s="22" t="s">
        <v>183</v>
      </c>
      <c r="M11" s="22" t="s">
        <v>278</v>
      </c>
      <c r="N11" s="50">
        <f>30.72/100</f>
        <v>0.30719999999999997</v>
      </c>
      <c r="O11" s="50">
        <f>34.3/100</f>
        <v>0.34299999999999997</v>
      </c>
      <c r="P11" s="50">
        <f>40.8/100</f>
        <v>0.40799999999999997</v>
      </c>
      <c r="Q11" s="44">
        <v>0.16666666666666669</v>
      </c>
      <c r="R11" s="22">
        <v>0</v>
      </c>
      <c r="S11" s="27">
        <f>Q11*R11</f>
        <v>0</v>
      </c>
      <c r="T11" s="27">
        <f>S11*Sheet1!$C$3</f>
        <v>0</v>
      </c>
      <c r="U11" s="22" t="s">
        <v>185</v>
      </c>
      <c r="X11" s="22" t="s">
        <v>183</v>
      </c>
      <c r="Y11" s="22" t="s">
        <v>163</v>
      </c>
      <c r="Z11" s="22" t="s">
        <v>209</v>
      </c>
      <c r="AA11" s="22" t="s">
        <v>210</v>
      </c>
      <c r="AB11" s="22" t="s">
        <v>209</v>
      </c>
      <c r="AC11" s="44">
        <v>0.16666666666666669</v>
      </c>
      <c r="AD11" s="22">
        <v>2</v>
      </c>
      <c r="AE11" s="19">
        <f>AC11*AD11</f>
        <v>0.33333333333333337</v>
      </c>
      <c r="AF11">
        <f>AE11*Sheet1!$C$4</f>
        <v>8.3333333333333343E-2</v>
      </c>
    </row>
    <row r="12" spans="1:32">
      <c r="B12" t="s">
        <v>153</v>
      </c>
      <c r="C12" s="5">
        <v>4155768.16</v>
      </c>
      <c r="D12" s="5">
        <v>3699745.96</v>
      </c>
      <c r="E12" s="5">
        <v>3618684.14</v>
      </c>
      <c r="F12" s="9">
        <f t="shared" si="4"/>
        <v>3824732.7533333334</v>
      </c>
      <c r="G12" s="44">
        <v>0.14285714285714288</v>
      </c>
      <c r="H12" s="30"/>
      <c r="I12" s="5">
        <v>1</v>
      </c>
      <c r="J12" s="29">
        <f t="shared" ref="J12:J17" si="5">G12*I12</f>
        <v>0.14285714285714288</v>
      </c>
      <c r="K12" s="29">
        <f>J12*Sheet1!$C$2</f>
        <v>5.9528571428571438E-2</v>
      </c>
      <c r="L12" s="22"/>
      <c r="M12" s="2" t="s">
        <v>23</v>
      </c>
      <c r="N12" s="22">
        <v>0</v>
      </c>
      <c r="O12" s="22">
        <v>0</v>
      </c>
      <c r="P12" s="22">
        <v>0</v>
      </c>
      <c r="Q12" s="44">
        <v>0.16666666666666669</v>
      </c>
      <c r="R12" s="22">
        <v>4.5</v>
      </c>
      <c r="S12" s="27">
        <f t="shared" ref="S12:S16" si="6">Q12*R12</f>
        <v>0.75000000000000011</v>
      </c>
      <c r="T12" s="27">
        <f>S12*Sheet1!$C$3</f>
        <v>0.24997500000000003</v>
      </c>
      <c r="U12" s="22"/>
      <c r="X12" s="22"/>
      <c r="Y12" s="22" t="s">
        <v>201</v>
      </c>
      <c r="Z12" s="22" t="s">
        <v>211</v>
      </c>
      <c r="AA12" s="22" t="s">
        <v>212</v>
      </c>
      <c r="AB12" s="22" t="s">
        <v>213</v>
      </c>
      <c r="AC12" s="44">
        <v>0.16666666666666669</v>
      </c>
      <c r="AD12" s="22">
        <v>2</v>
      </c>
      <c r="AE12" s="19">
        <f t="shared" ref="AE12:AE16" si="7">AC12*AD12</f>
        <v>0.33333333333333337</v>
      </c>
      <c r="AF12">
        <f>AE12*Sheet1!$C$4</f>
        <v>8.3333333333333343E-2</v>
      </c>
    </row>
    <row r="13" spans="1:32">
      <c r="B13" t="s">
        <v>154</v>
      </c>
      <c r="C13" s="5">
        <v>276436.62</v>
      </c>
      <c r="D13" s="5">
        <v>270094.39</v>
      </c>
      <c r="E13" s="5">
        <v>274255.01</v>
      </c>
      <c r="F13" s="9">
        <f t="shared" si="4"/>
        <v>273595.34000000003</v>
      </c>
      <c r="G13" s="44">
        <v>0.14285714285714288</v>
      </c>
      <c r="H13" s="30"/>
      <c r="I13" s="5">
        <v>1.5</v>
      </c>
      <c r="J13" s="29">
        <f t="shared" si="5"/>
        <v>0.2142857142857143</v>
      </c>
      <c r="K13" s="29">
        <f>J13*Sheet1!$C$2</f>
        <v>8.9292857142857146E-2</v>
      </c>
      <c r="L13" s="22"/>
      <c r="M13" s="2" t="s">
        <v>86</v>
      </c>
      <c r="N13" s="2">
        <v>28</v>
      </c>
      <c r="O13" s="2">
        <v>35</v>
      </c>
      <c r="P13" s="2">
        <v>12</v>
      </c>
      <c r="Q13" s="44">
        <v>0.16666666666666669</v>
      </c>
      <c r="R13" s="22">
        <v>3</v>
      </c>
      <c r="S13" s="27">
        <f t="shared" si="6"/>
        <v>0.5</v>
      </c>
      <c r="T13" s="27">
        <f>S13*Sheet1!$C$3</f>
        <v>0.16664999999999999</v>
      </c>
      <c r="U13" s="22"/>
      <c r="X13" s="22"/>
      <c r="Y13" s="22" t="s">
        <v>164</v>
      </c>
      <c r="Z13" s="22" t="s">
        <v>214</v>
      </c>
      <c r="AA13" s="22" t="s">
        <v>215</v>
      </c>
      <c r="AB13" s="22" t="s">
        <v>216</v>
      </c>
      <c r="AC13" s="44">
        <v>0.16666666666666669</v>
      </c>
      <c r="AD13" s="22">
        <v>3.5</v>
      </c>
      <c r="AE13" s="19">
        <f t="shared" si="7"/>
        <v>0.58333333333333337</v>
      </c>
      <c r="AF13">
        <f>AE13*Sheet1!$C$4</f>
        <v>0.14583333333333334</v>
      </c>
    </row>
    <row r="14" spans="1:32">
      <c r="B14" t="s">
        <v>155</v>
      </c>
      <c r="C14" s="5">
        <v>7923.8</v>
      </c>
      <c r="D14" s="5">
        <v>8624.19</v>
      </c>
      <c r="E14" s="5">
        <v>9418.15</v>
      </c>
      <c r="F14" s="9">
        <f t="shared" si="4"/>
        <v>8655.3799999999992</v>
      </c>
      <c r="G14" s="44">
        <v>0.14285714285714288</v>
      </c>
      <c r="H14" s="30"/>
      <c r="I14" s="5">
        <v>2.5</v>
      </c>
      <c r="J14" s="29">
        <f t="shared" si="5"/>
        <v>0.35714285714285721</v>
      </c>
      <c r="K14" s="29">
        <f>J14*Sheet1!$C$2</f>
        <v>0.1488214285714286</v>
      </c>
      <c r="L14" s="22"/>
      <c r="M14" s="2" t="s">
        <v>88</v>
      </c>
      <c r="N14" s="22">
        <v>8</v>
      </c>
      <c r="O14" s="22">
        <v>8</v>
      </c>
      <c r="P14" s="22">
        <v>4</v>
      </c>
      <c r="Q14" s="44">
        <v>0.16666666666666669</v>
      </c>
      <c r="R14" s="22">
        <v>2</v>
      </c>
      <c r="S14" s="27">
        <f t="shared" si="6"/>
        <v>0.33333333333333337</v>
      </c>
      <c r="T14" s="27">
        <f>S14*Sheet1!$C$3</f>
        <v>0.1111</v>
      </c>
      <c r="U14" s="22"/>
      <c r="X14" s="22"/>
      <c r="Y14" s="22" t="s">
        <v>165</v>
      </c>
      <c r="Z14" s="2" t="s">
        <v>29</v>
      </c>
      <c r="AA14" s="2" t="s">
        <v>29</v>
      </c>
      <c r="AB14" s="2" t="s">
        <v>49</v>
      </c>
      <c r="AC14" s="44">
        <v>0.16666666666666669</v>
      </c>
      <c r="AD14" s="22">
        <v>4.5</v>
      </c>
      <c r="AE14" s="19">
        <f t="shared" si="7"/>
        <v>0.75000000000000011</v>
      </c>
      <c r="AF14">
        <f>AE14*Sheet1!$C$4</f>
        <v>0.18750000000000003</v>
      </c>
    </row>
    <row r="15" spans="1:32">
      <c r="B15" t="s">
        <v>156</v>
      </c>
      <c r="C15" s="5">
        <v>49758.59</v>
      </c>
      <c r="D15" s="5">
        <v>54018.879999999997</v>
      </c>
      <c r="E15" s="5">
        <v>54851</v>
      </c>
      <c r="F15" s="9">
        <f t="shared" si="4"/>
        <v>52876.156666666669</v>
      </c>
      <c r="G15" s="44">
        <v>0.14285714285714288</v>
      </c>
      <c r="H15" s="30"/>
      <c r="I15" s="5">
        <v>3</v>
      </c>
      <c r="J15" s="29">
        <f t="shared" si="5"/>
        <v>0.4285714285714286</v>
      </c>
      <c r="K15" s="29">
        <f>J15*Sheet1!$C$2</f>
        <v>0.17858571428571429</v>
      </c>
      <c r="L15" s="22"/>
      <c r="M15" s="22" t="s">
        <v>195</v>
      </c>
      <c r="N15" s="11" t="s">
        <v>235</v>
      </c>
      <c r="O15" s="11" t="s">
        <v>236</v>
      </c>
      <c r="P15" s="11" t="s">
        <v>237</v>
      </c>
      <c r="Q15" s="44">
        <v>0.16666666666666669</v>
      </c>
      <c r="R15" s="22">
        <v>2</v>
      </c>
      <c r="S15" s="27">
        <f t="shared" si="6"/>
        <v>0.33333333333333337</v>
      </c>
      <c r="T15" s="27">
        <f>S15*Sheet1!$C$3</f>
        <v>0.1111</v>
      </c>
      <c r="U15" s="22"/>
      <c r="X15" s="22"/>
      <c r="Y15" s="22" t="s">
        <v>166</v>
      </c>
      <c r="Z15" s="22">
        <v>25</v>
      </c>
      <c r="AA15" s="22">
        <v>28</v>
      </c>
      <c r="AB15" s="22">
        <v>0</v>
      </c>
      <c r="AC15" s="44">
        <v>0.16666666666666669</v>
      </c>
      <c r="AD15" s="22">
        <v>1</v>
      </c>
      <c r="AE15" s="19">
        <f t="shared" si="7"/>
        <v>0.16666666666666669</v>
      </c>
      <c r="AF15">
        <f>AE15*Sheet1!$C$4</f>
        <v>4.1666666666666671E-2</v>
      </c>
    </row>
    <row r="16" spans="1:32">
      <c r="B16" t="s">
        <v>157</v>
      </c>
      <c r="C16" s="3">
        <v>406800</v>
      </c>
      <c r="D16" s="3">
        <v>398750</v>
      </c>
      <c r="E16" s="3">
        <v>42990</v>
      </c>
      <c r="F16" s="8">
        <f t="shared" si="4"/>
        <v>282846.66666666669</v>
      </c>
      <c r="G16" s="44">
        <v>0.14285714285714288</v>
      </c>
      <c r="H16" s="30"/>
      <c r="I16" s="5">
        <v>3</v>
      </c>
      <c r="J16" s="29">
        <f t="shared" si="5"/>
        <v>0.4285714285714286</v>
      </c>
      <c r="K16" s="29">
        <f>J16*Sheet1!$C$2</f>
        <v>0.17858571428571429</v>
      </c>
      <c r="L16" s="22"/>
      <c r="M16" s="11" t="s">
        <v>196</v>
      </c>
      <c r="N16" s="22">
        <v>0</v>
      </c>
      <c r="O16" s="22">
        <v>0</v>
      </c>
      <c r="P16" s="22">
        <v>0</v>
      </c>
      <c r="Q16" s="44">
        <v>0.16666666666666669</v>
      </c>
      <c r="R16" s="22">
        <v>0</v>
      </c>
      <c r="S16" s="27">
        <f t="shared" si="6"/>
        <v>0</v>
      </c>
      <c r="T16" s="27">
        <f>S16*Sheet1!$C$3</f>
        <v>0</v>
      </c>
      <c r="X16" s="22"/>
      <c r="Y16" s="22" t="s">
        <v>167</v>
      </c>
      <c r="Z16" s="22" t="s">
        <v>217</v>
      </c>
      <c r="AA16" s="22" t="s">
        <v>218</v>
      </c>
      <c r="AB16" s="22" t="s">
        <v>199</v>
      </c>
      <c r="AC16" s="44">
        <v>0.16666666666666669</v>
      </c>
      <c r="AD16" s="22">
        <v>3</v>
      </c>
      <c r="AE16" s="19">
        <f t="shared" si="7"/>
        <v>0.5</v>
      </c>
      <c r="AF16">
        <f>AE16*Sheet1!$C$4</f>
        <v>0.125</v>
      </c>
    </row>
    <row r="17" spans="1:32">
      <c r="B17" t="s">
        <v>158</v>
      </c>
      <c r="C17" s="5">
        <v>2481.59</v>
      </c>
      <c r="D17" s="5">
        <v>2480.79</v>
      </c>
      <c r="E17" s="5">
        <v>5058.93</v>
      </c>
      <c r="F17" s="9">
        <f t="shared" si="4"/>
        <v>3340.436666666667</v>
      </c>
      <c r="G17" s="44">
        <v>0.14285714285714288</v>
      </c>
      <c r="H17" s="30"/>
      <c r="I17" s="5">
        <v>3.5</v>
      </c>
      <c r="J17" s="29">
        <f t="shared" si="5"/>
        <v>0.50000000000000011</v>
      </c>
      <c r="K17" s="29">
        <f>J17*Sheet1!$C$2</f>
        <v>0.20835000000000006</v>
      </c>
      <c r="Q17" s="38"/>
      <c r="R17" s="36">
        <f>SUM(R11:R16)/6</f>
        <v>1.9166666666666667</v>
      </c>
      <c r="S17" s="36">
        <f>SUM(S11:S16)</f>
        <v>1.916666666666667</v>
      </c>
      <c r="T17" s="36">
        <f>S17*Sheet1!C3</f>
        <v>0.63882500000000009</v>
      </c>
      <c r="X17" s="22"/>
      <c r="Y17" s="22" t="s">
        <v>160</v>
      </c>
      <c r="Z17" s="22"/>
      <c r="AA17" s="22"/>
      <c r="AB17" s="22"/>
      <c r="AC17" s="22"/>
      <c r="AD17" s="36">
        <f>SUM(AD11:AD16)/6</f>
        <v>2.6666666666666665</v>
      </c>
      <c r="AE17" s="36">
        <f>SUM(AE11:AE16)</f>
        <v>2.6666666666666665</v>
      </c>
      <c r="AF17" s="36">
        <f>AE17*Sheet1!C4</f>
        <v>0.66666666666666663</v>
      </c>
    </row>
    <row r="18" spans="1:32">
      <c r="I18" s="36">
        <f>SUM(I11:I17)/7</f>
        <v>2.4285714285714284</v>
      </c>
      <c r="J18" s="36">
        <f>SUM(J11:J17)</f>
        <v>2.4285714285714288</v>
      </c>
      <c r="K18" s="36">
        <f>J18*Sheet1!C2</f>
        <v>1.0119857142857145</v>
      </c>
      <c r="N18" s="22" t="s">
        <v>170</v>
      </c>
      <c r="O18" s="22" t="s">
        <v>171</v>
      </c>
      <c r="P18" s="22" t="s">
        <v>172</v>
      </c>
      <c r="Q18" s="22"/>
      <c r="X18" s="22"/>
      <c r="Y18" s="22"/>
      <c r="Z18" s="22"/>
      <c r="AA18" s="22"/>
      <c r="AB18" s="22"/>
      <c r="AC18" s="22"/>
      <c r="AD18" s="22"/>
      <c r="AE18" s="19"/>
    </row>
    <row r="19" spans="1:32">
      <c r="A19" t="s">
        <v>174</v>
      </c>
      <c r="B19" t="s">
        <v>152</v>
      </c>
      <c r="C19" s="2">
        <v>615.27</v>
      </c>
      <c r="D19" s="2">
        <v>374.7</v>
      </c>
      <c r="E19" s="5">
        <v>2023.54</v>
      </c>
      <c r="F19" s="9">
        <f>AVERAGE(C19:E19)</f>
        <v>1004.5033333333334</v>
      </c>
      <c r="G19" s="44">
        <v>0.14285714285714288</v>
      </c>
      <c r="H19" s="31"/>
      <c r="I19" s="37">
        <v>1.5</v>
      </c>
      <c r="J19" s="37">
        <f>G19*I19</f>
        <v>0.2142857142857143</v>
      </c>
      <c r="K19" s="37">
        <f>J19*Sheet1!$C$2</f>
        <v>8.9292857142857146E-2</v>
      </c>
      <c r="L19" t="s">
        <v>187</v>
      </c>
      <c r="M19" s="22" t="s">
        <v>279</v>
      </c>
      <c r="N19" s="50">
        <f>4.3/100</f>
        <v>4.2999999999999997E-2</v>
      </c>
      <c r="O19" s="50">
        <f>6/100</f>
        <v>0.06</v>
      </c>
      <c r="P19" s="50">
        <f>18/100</f>
        <v>0.18</v>
      </c>
      <c r="Q19" s="44">
        <v>0.16666666666666669</v>
      </c>
      <c r="R19" s="22">
        <v>3.5</v>
      </c>
      <c r="S19" s="27">
        <f>R19*Q19</f>
        <v>0.58333333333333337</v>
      </c>
      <c r="T19" s="27">
        <f>S19*Sheet1!$C$3</f>
        <v>0.19442500000000001</v>
      </c>
      <c r="U19" t="s">
        <v>160</v>
      </c>
      <c r="X19" s="22"/>
      <c r="Y19" s="22"/>
      <c r="Z19" s="22"/>
      <c r="AA19" s="22"/>
      <c r="AB19" s="22"/>
      <c r="AC19" s="22"/>
      <c r="AD19" s="22"/>
      <c r="AE19" s="19"/>
    </row>
    <row r="20" spans="1:32">
      <c r="B20" t="s">
        <v>153</v>
      </c>
      <c r="C20" s="5">
        <v>22632.04</v>
      </c>
      <c r="D20" s="5">
        <v>27905.919999999998</v>
      </c>
      <c r="E20" s="5">
        <v>28679.53</v>
      </c>
      <c r="F20" s="9">
        <f t="shared" ref="F20:F23" si="8">AVERAGE(C20:E20)</f>
        <v>26405.829999999998</v>
      </c>
      <c r="G20" s="44">
        <v>0.14285714285714288</v>
      </c>
      <c r="H20" s="30"/>
      <c r="I20" s="37">
        <v>2</v>
      </c>
      <c r="J20" s="37">
        <f t="shared" ref="J20:J24" si="9">G20*I20</f>
        <v>0.28571428571428575</v>
      </c>
      <c r="K20" s="37">
        <f>J20*Sheet1!$C$2</f>
        <v>0.11905714285714288</v>
      </c>
      <c r="M20" s="2" t="s">
        <v>23</v>
      </c>
      <c r="N20">
        <v>1</v>
      </c>
      <c r="O20">
        <v>1</v>
      </c>
      <c r="P20">
        <v>2</v>
      </c>
      <c r="Q20" s="44">
        <v>0.16666666666666669</v>
      </c>
      <c r="R20" s="22">
        <v>3.5</v>
      </c>
      <c r="S20" s="27">
        <f t="shared" ref="S20:S24" si="10">R20*Q20</f>
        <v>0.58333333333333337</v>
      </c>
      <c r="T20" s="27">
        <f>S20*Sheet1!$C$3</f>
        <v>0.19442500000000001</v>
      </c>
      <c r="X20" s="22" t="s">
        <v>219</v>
      </c>
      <c r="Y20" s="22" t="s">
        <v>163</v>
      </c>
      <c r="Z20" s="22" t="s">
        <v>220</v>
      </c>
      <c r="AA20" s="22" t="s">
        <v>198</v>
      </c>
      <c r="AB20" s="22" t="s">
        <v>198</v>
      </c>
      <c r="AC20" s="44">
        <v>0.16666666666666669</v>
      </c>
      <c r="AD20" s="22">
        <v>2</v>
      </c>
      <c r="AE20" s="19">
        <f>AC20*AD20</f>
        <v>0.33333333333333337</v>
      </c>
      <c r="AF20">
        <f>AE20*Sheet1!$C$4</f>
        <v>8.3333333333333343E-2</v>
      </c>
    </row>
    <row r="21" spans="1:32">
      <c r="B21" t="s">
        <v>154</v>
      </c>
      <c r="C21" s="2">
        <v>337.39</v>
      </c>
      <c r="D21" s="2">
        <v>390.96</v>
      </c>
      <c r="E21" s="2">
        <v>484.37</v>
      </c>
      <c r="F21" s="9">
        <f t="shared" si="8"/>
        <v>404.23999999999995</v>
      </c>
      <c r="G21" s="44">
        <v>0.14285714285714288</v>
      </c>
      <c r="H21" s="30"/>
      <c r="I21" s="11">
        <v>4</v>
      </c>
      <c r="J21" s="37">
        <f t="shared" si="9"/>
        <v>0.57142857142857151</v>
      </c>
      <c r="K21" s="37">
        <f>J21*Sheet1!$C$2</f>
        <v>0.23811428571428575</v>
      </c>
      <c r="M21" s="2" t="s">
        <v>86</v>
      </c>
      <c r="N21">
        <v>0</v>
      </c>
      <c r="O21">
        <v>0</v>
      </c>
      <c r="P21">
        <v>0</v>
      </c>
      <c r="Q21" s="44">
        <v>0.16666666666666669</v>
      </c>
      <c r="R21" s="22">
        <v>4.5</v>
      </c>
      <c r="S21" s="27">
        <f t="shared" si="10"/>
        <v>0.75000000000000011</v>
      </c>
      <c r="T21" s="27">
        <f>S21*Sheet1!$C$3</f>
        <v>0.24997500000000003</v>
      </c>
      <c r="U21" t="s">
        <v>160</v>
      </c>
      <c r="X21" s="22"/>
      <c r="Y21" s="22" t="s">
        <v>201</v>
      </c>
      <c r="Z21" s="40">
        <v>678288</v>
      </c>
      <c r="AA21" s="22" t="s">
        <v>221</v>
      </c>
      <c r="AB21" s="40">
        <v>769548</v>
      </c>
      <c r="AC21" s="44">
        <v>0.16666666666666669</v>
      </c>
      <c r="AD21" s="22">
        <v>2</v>
      </c>
      <c r="AE21" s="19">
        <f t="shared" ref="AE21:AE25" si="11">AC21*AD21</f>
        <v>0.33333333333333337</v>
      </c>
      <c r="AF21">
        <f>AE21*Sheet1!$C$4</f>
        <v>8.3333333333333343E-2</v>
      </c>
    </row>
    <row r="22" spans="1:32">
      <c r="B22" t="s">
        <v>155</v>
      </c>
      <c r="C22" s="5">
        <v>3213.58</v>
      </c>
      <c r="D22" s="5">
        <v>6279</v>
      </c>
      <c r="E22" s="5">
        <v>4611.82</v>
      </c>
      <c r="F22" s="9">
        <f t="shared" si="8"/>
        <v>4701.4666666666662</v>
      </c>
      <c r="G22" s="44">
        <v>0.14285714285714288</v>
      </c>
      <c r="H22" s="30"/>
      <c r="I22" s="37">
        <v>4.5</v>
      </c>
      <c r="J22" s="37">
        <f t="shared" si="9"/>
        <v>0.6428571428571429</v>
      </c>
      <c r="K22" s="37">
        <f>J22*Sheet1!$C$2</f>
        <v>0.26787857142857147</v>
      </c>
      <c r="M22" s="2" t="s">
        <v>88</v>
      </c>
      <c r="N22">
        <v>0</v>
      </c>
      <c r="O22">
        <v>0</v>
      </c>
      <c r="P22">
        <v>0</v>
      </c>
      <c r="Q22" s="44">
        <v>0.16666666666666669</v>
      </c>
      <c r="R22" s="22">
        <v>4.5</v>
      </c>
      <c r="S22" s="27">
        <f t="shared" si="10"/>
        <v>0.75000000000000011</v>
      </c>
      <c r="T22" s="27">
        <f>S22*Sheet1!$C$3</f>
        <v>0.24997500000000003</v>
      </c>
      <c r="X22" s="22"/>
      <c r="Y22" s="22" t="s">
        <v>164</v>
      </c>
      <c r="Z22" s="22" t="s">
        <v>222</v>
      </c>
      <c r="AA22" s="22" t="s">
        <v>223</v>
      </c>
      <c r="AB22" s="22" t="s">
        <v>224</v>
      </c>
      <c r="AC22" s="44">
        <v>0.16666666666666669</v>
      </c>
      <c r="AD22" s="22">
        <v>3</v>
      </c>
      <c r="AE22" s="19">
        <f t="shared" si="11"/>
        <v>0.5</v>
      </c>
      <c r="AF22">
        <f>AE22*Sheet1!$C$4</f>
        <v>0.125</v>
      </c>
    </row>
    <row r="23" spans="1:32">
      <c r="B23" t="s">
        <v>156</v>
      </c>
      <c r="C23" s="5">
        <v>1749280.84</v>
      </c>
      <c r="D23" s="5">
        <v>871898.02</v>
      </c>
      <c r="E23" s="5">
        <v>910408.31</v>
      </c>
      <c r="F23" s="9">
        <f t="shared" si="8"/>
        <v>1177195.7233333334</v>
      </c>
      <c r="G23" s="44">
        <v>0.14285714285714288</v>
      </c>
      <c r="H23" s="30"/>
      <c r="I23" s="37">
        <v>1</v>
      </c>
      <c r="J23" s="37">
        <f t="shared" si="9"/>
        <v>0.14285714285714288</v>
      </c>
      <c r="K23" s="37">
        <f>J23*Sheet1!$C$2</f>
        <v>5.9528571428571438E-2</v>
      </c>
      <c r="M23" s="22" t="s">
        <v>195</v>
      </c>
      <c r="N23" t="s">
        <v>238</v>
      </c>
      <c r="O23" t="s">
        <v>239</v>
      </c>
      <c r="P23" t="s">
        <v>240</v>
      </c>
      <c r="Q23" s="44">
        <v>0.16666666666666669</v>
      </c>
      <c r="R23" s="22">
        <v>3</v>
      </c>
      <c r="S23" s="27">
        <f t="shared" si="10"/>
        <v>0.5</v>
      </c>
      <c r="T23" s="27">
        <f>S23*Sheet1!$C$3</f>
        <v>0.16664999999999999</v>
      </c>
      <c r="U23" s="22"/>
      <c r="X23" s="22"/>
      <c r="Y23" s="22" t="s">
        <v>165</v>
      </c>
      <c r="Z23" s="2" t="s">
        <v>68</v>
      </c>
      <c r="AA23" s="2" t="s">
        <v>69</v>
      </c>
      <c r="AB23" s="2" t="s">
        <v>70</v>
      </c>
      <c r="AC23" s="44">
        <v>0.16666666666666669</v>
      </c>
      <c r="AD23" s="22">
        <v>4</v>
      </c>
      <c r="AE23" s="19">
        <f t="shared" si="11"/>
        <v>0.66666666666666674</v>
      </c>
      <c r="AF23">
        <f>AE23*Sheet1!$C$4</f>
        <v>0.16666666666666669</v>
      </c>
    </row>
    <row r="24" spans="1:32">
      <c r="B24" t="s">
        <v>157</v>
      </c>
      <c r="C24" s="2" t="s">
        <v>54</v>
      </c>
      <c r="D24" s="2" t="s">
        <v>54</v>
      </c>
      <c r="E24" s="2" t="s">
        <v>54</v>
      </c>
      <c r="G24" s="44">
        <v>0.14285714285714288</v>
      </c>
      <c r="H24" s="30"/>
      <c r="I24" s="37">
        <v>0</v>
      </c>
      <c r="J24" s="37">
        <f t="shared" si="9"/>
        <v>0</v>
      </c>
      <c r="K24" s="37">
        <f>J24*Sheet1!$C$2</f>
        <v>0</v>
      </c>
      <c r="M24" s="11" t="s">
        <v>196</v>
      </c>
      <c r="N24">
        <v>0</v>
      </c>
      <c r="O24" t="s">
        <v>241</v>
      </c>
      <c r="P24" t="s">
        <v>242</v>
      </c>
      <c r="Q24" s="44">
        <v>0.16666666666666669</v>
      </c>
      <c r="R24" s="22">
        <v>3</v>
      </c>
      <c r="S24" s="27">
        <f t="shared" si="10"/>
        <v>0.5</v>
      </c>
      <c r="T24" s="27">
        <f>S24*Sheet1!$C$3</f>
        <v>0.16664999999999999</v>
      </c>
      <c r="X24" s="22"/>
      <c r="Y24" s="22" t="s">
        <v>166</v>
      </c>
      <c r="Z24" s="22">
        <v>0</v>
      </c>
      <c r="AA24" s="22">
        <v>0</v>
      </c>
      <c r="AB24" s="22">
        <v>0</v>
      </c>
      <c r="AC24" s="44">
        <v>0.16666666666666669</v>
      </c>
      <c r="AD24" s="22">
        <v>4.5</v>
      </c>
      <c r="AE24" s="19">
        <f t="shared" si="11"/>
        <v>0.75000000000000011</v>
      </c>
      <c r="AF24">
        <f>AE24*Sheet1!$C$4</f>
        <v>0.18750000000000003</v>
      </c>
    </row>
    <row r="25" spans="1:32">
      <c r="B25" t="s">
        <v>158</v>
      </c>
      <c r="C25" s="2" t="s">
        <v>54</v>
      </c>
      <c r="D25" s="2" t="s">
        <v>54</v>
      </c>
      <c r="E25" s="2" t="s">
        <v>54</v>
      </c>
      <c r="G25" s="44">
        <v>0.14285714285714288</v>
      </c>
      <c r="H25" s="30"/>
      <c r="I25" s="37"/>
      <c r="J25" s="46">
        <f>SUM(J19:J24)</f>
        <v>1.8571428571428572</v>
      </c>
      <c r="K25" s="46">
        <f>J25*Sheet1!C2</f>
        <v>0.77387142857142865</v>
      </c>
      <c r="Q25" s="38"/>
      <c r="R25" s="36">
        <f>SUM(R19:R24)</f>
        <v>22</v>
      </c>
      <c r="S25" s="36">
        <f>SUM(S19:S24)</f>
        <v>3.666666666666667</v>
      </c>
      <c r="T25" s="36">
        <f>S25*Sheet1!C3</f>
        <v>1.2221</v>
      </c>
      <c r="X25" s="22"/>
      <c r="Y25" s="22" t="s">
        <v>167</v>
      </c>
      <c r="Z25" s="22" t="s">
        <v>225</v>
      </c>
      <c r="AA25" s="22" t="s">
        <v>226</v>
      </c>
      <c r="AB25" s="22" t="s">
        <v>226</v>
      </c>
      <c r="AC25" s="44">
        <v>0.16666666666666669</v>
      </c>
      <c r="AD25" s="22">
        <v>2</v>
      </c>
      <c r="AE25" s="19">
        <f t="shared" si="11"/>
        <v>0.33333333333333337</v>
      </c>
      <c r="AF25">
        <f>AE25*Sheet1!$C$4</f>
        <v>8.3333333333333343E-2</v>
      </c>
    </row>
    <row r="26" spans="1:32">
      <c r="I26" s="36"/>
      <c r="J26" s="36"/>
      <c r="K26" s="36"/>
      <c r="N26" s="22" t="s">
        <v>170</v>
      </c>
      <c r="O26" s="22" t="s">
        <v>171</v>
      </c>
      <c r="P26" s="22" t="s">
        <v>172</v>
      </c>
      <c r="Q26" s="22"/>
      <c r="X26" s="22"/>
      <c r="Y26" s="22"/>
      <c r="Z26" s="22"/>
      <c r="AA26" s="22"/>
      <c r="AB26" s="22"/>
      <c r="AC26" s="22"/>
      <c r="AD26" s="36">
        <f>SUM(AD20:AD25)</f>
        <v>17.5</v>
      </c>
      <c r="AE26" s="36">
        <f>SUM(AE20:AE25)</f>
        <v>2.916666666666667</v>
      </c>
      <c r="AF26" s="36">
        <f>AE26*Sheet1!C4</f>
        <v>0.72916666666666674</v>
      </c>
    </row>
    <row r="27" spans="1:32">
      <c r="A27" t="s">
        <v>175</v>
      </c>
      <c r="B27" t="s">
        <v>152</v>
      </c>
      <c r="D27" s="3">
        <v>2937330</v>
      </c>
      <c r="E27" s="3">
        <v>729353650</v>
      </c>
      <c r="F27" s="8">
        <f>AVERAGE(D27:E27)</f>
        <v>366145490</v>
      </c>
      <c r="G27" s="44">
        <v>0.14285714285714288</v>
      </c>
      <c r="H27" s="31"/>
      <c r="I27" s="37">
        <v>2.5</v>
      </c>
      <c r="J27" s="37">
        <f>G27*I27</f>
        <v>0.35714285714285721</v>
      </c>
      <c r="K27" s="37">
        <f>J27*Sheet1!$C$2</f>
        <v>0.1488214285714286</v>
      </c>
      <c r="L27" t="s">
        <v>175</v>
      </c>
      <c r="M27" s="22" t="s">
        <v>278</v>
      </c>
      <c r="N27" s="74">
        <f>Sheet2!I20</f>
        <v>0.63500000000000001</v>
      </c>
      <c r="O27" s="74">
        <f>Sheet2!J20</f>
        <v>0.73930000000000007</v>
      </c>
      <c r="P27" s="74">
        <f>Sheet2!K20</f>
        <v>0.68599999999999994</v>
      </c>
      <c r="Q27" s="44">
        <v>0.16666666666666669</v>
      </c>
      <c r="R27" s="22">
        <v>2.5</v>
      </c>
      <c r="S27" s="27">
        <f>Q27*R27</f>
        <v>0.41666666666666674</v>
      </c>
      <c r="T27" s="27">
        <f>S27*Sheet1!$C$3</f>
        <v>0.13887500000000003</v>
      </c>
      <c r="X27" s="22"/>
      <c r="Y27" s="22"/>
      <c r="Z27" s="22"/>
      <c r="AA27" s="22"/>
      <c r="AB27" s="22"/>
      <c r="AC27" s="22"/>
      <c r="AD27" s="22"/>
      <c r="AE27" s="19"/>
    </row>
    <row r="28" spans="1:32">
      <c r="B28" t="s">
        <v>153</v>
      </c>
      <c r="D28" s="3">
        <v>4773490</v>
      </c>
      <c r="E28" s="3">
        <v>742469610</v>
      </c>
      <c r="F28" s="8">
        <f t="shared" ref="F28:F33" si="12">AVERAGE(D28:E28)</f>
        <v>373621550</v>
      </c>
      <c r="G28" s="44">
        <v>0.14285714285714288</v>
      </c>
      <c r="H28" s="30"/>
      <c r="I28" s="37">
        <v>1.5</v>
      </c>
      <c r="J28" s="37">
        <f t="shared" ref="J28:J33" si="13">G28*I28</f>
        <v>0.2142857142857143</v>
      </c>
      <c r="K28" s="37">
        <f>J28*Sheet1!$C$2</f>
        <v>8.9292857142857146E-2</v>
      </c>
      <c r="M28" s="2" t="s">
        <v>23</v>
      </c>
      <c r="O28" s="2">
        <v>36</v>
      </c>
      <c r="P28" s="2">
        <v>50</v>
      </c>
      <c r="Q28" s="44">
        <v>0.16666666666666669</v>
      </c>
      <c r="R28" s="22">
        <v>1</v>
      </c>
      <c r="S28" s="27">
        <f t="shared" ref="S28:S32" si="14">Q28*R28</f>
        <v>0.16666666666666669</v>
      </c>
      <c r="T28" s="27">
        <f>S28*Sheet1!$C$3</f>
        <v>5.5550000000000002E-2</v>
      </c>
      <c r="U28" s="2" t="s">
        <v>83</v>
      </c>
      <c r="X28" s="22" t="s">
        <v>175</v>
      </c>
      <c r="Y28" s="22" t="s">
        <v>163</v>
      </c>
      <c r="Z28" s="22"/>
      <c r="AA28" s="22" t="s">
        <v>232</v>
      </c>
      <c r="AB28" s="22" t="s">
        <v>231</v>
      </c>
      <c r="AC28" s="44">
        <v>0.16666666666666669</v>
      </c>
      <c r="AD28" s="22">
        <v>3</v>
      </c>
      <c r="AE28" s="19">
        <f>AC28*AD28</f>
        <v>0.5</v>
      </c>
      <c r="AF28">
        <f>AE28*Sheet1!$C$4</f>
        <v>0.125</v>
      </c>
    </row>
    <row r="29" spans="1:32">
      <c r="B29" t="s">
        <v>154</v>
      </c>
      <c r="D29" s="3">
        <v>156886</v>
      </c>
      <c r="E29" s="3">
        <v>186223</v>
      </c>
      <c r="F29" s="8">
        <f t="shared" si="12"/>
        <v>171554.5</v>
      </c>
      <c r="G29" s="44">
        <v>0.14285714285714288</v>
      </c>
      <c r="H29" s="30"/>
      <c r="I29" s="37">
        <v>3</v>
      </c>
      <c r="J29" s="37">
        <f t="shared" si="13"/>
        <v>0.4285714285714286</v>
      </c>
      <c r="K29" s="37">
        <f>J29*Sheet1!$C$2</f>
        <v>0.17858571428571429</v>
      </c>
      <c r="M29" s="2" t="s">
        <v>86</v>
      </c>
      <c r="O29" s="2">
        <v>12</v>
      </c>
      <c r="P29" s="2">
        <v>79</v>
      </c>
      <c r="Q29" s="44">
        <v>0.16666666666666669</v>
      </c>
      <c r="R29" s="22">
        <v>2</v>
      </c>
      <c r="S29" s="27">
        <f t="shared" si="14"/>
        <v>0.33333333333333337</v>
      </c>
      <c r="T29" s="27">
        <f>S29*Sheet1!$C$3</f>
        <v>0.1111</v>
      </c>
      <c r="U29" s="2" t="s">
        <v>87</v>
      </c>
      <c r="X29" s="22"/>
      <c r="Y29" s="22" t="s">
        <v>201</v>
      </c>
      <c r="Z29" s="22"/>
      <c r="AA29" s="40">
        <v>31021406</v>
      </c>
      <c r="AB29" s="40">
        <v>28620173</v>
      </c>
      <c r="AC29" s="44">
        <v>0.16666666666666669</v>
      </c>
      <c r="AD29" s="22">
        <v>2.5</v>
      </c>
      <c r="AE29" s="19">
        <f t="shared" ref="AE29:AE32" si="15">AC29*AD29</f>
        <v>0.41666666666666674</v>
      </c>
      <c r="AF29">
        <f>AE29*Sheet1!$C$4</f>
        <v>0.10416666666666669</v>
      </c>
    </row>
    <row r="30" spans="1:32">
      <c r="B30" t="s">
        <v>155</v>
      </c>
      <c r="D30" s="3">
        <v>52669</v>
      </c>
      <c r="E30" s="3">
        <v>61144</v>
      </c>
      <c r="F30" s="8">
        <f t="shared" si="12"/>
        <v>56906.5</v>
      </c>
      <c r="G30" s="44">
        <v>0.14285714285714288</v>
      </c>
      <c r="H30" s="30"/>
      <c r="I30" s="37">
        <v>2</v>
      </c>
      <c r="J30" s="37">
        <f t="shared" si="13"/>
        <v>0.28571428571428575</v>
      </c>
      <c r="K30" s="37">
        <f>J30*Sheet1!$C$2</f>
        <v>0.11905714285714288</v>
      </c>
      <c r="M30" s="2" t="s">
        <v>88</v>
      </c>
      <c r="O30" s="2">
        <v>3</v>
      </c>
      <c r="P30" s="2">
        <v>4</v>
      </c>
      <c r="Q30" s="44">
        <v>0.16666666666666669</v>
      </c>
      <c r="R30" s="22">
        <v>3</v>
      </c>
      <c r="S30" s="27">
        <f t="shared" si="14"/>
        <v>0.5</v>
      </c>
      <c r="T30" s="27">
        <f>S30*Sheet1!$C$3</f>
        <v>0.16664999999999999</v>
      </c>
      <c r="U30" s="2" t="s">
        <v>89</v>
      </c>
      <c r="X30" s="22"/>
      <c r="Y30" s="22" t="s">
        <v>164</v>
      </c>
      <c r="Z30" s="22"/>
      <c r="AA30" s="22" t="s">
        <v>233</v>
      </c>
      <c r="AB30" s="22" t="s">
        <v>234</v>
      </c>
      <c r="AC30" s="44">
        <v>0.16666666666666669</v>
      </c>
      <c r="AD30" s="22">
        <v>3</v>
      </c>
      <c r="AE30" s="19">
        <f t="shared" si="15"/>
        <v>0.5</v>
      </c>
      <c r="AF30">
        <f>AE30*Sheet1!$C$4</f>
        <v>0.125</v>
      </c>
    </row>
    <row r="31" spans="1:32">
      <c r="B31" t="s">
        <v>156</v>
      </c>
      <c r="D31" s="3">
        <v>576188</v>
      </c>
      <c r="E31" s="3">
        <v>569766</v>
      </c>
      <c r="F31" s="8">
        <f t="shared" si="12"/>
        <v>572977</v>
      </c>
      <c r="G31" s="44">
        <v>0.14285714285714288</v>
      </c>
      <c r="H31" s="30"/>
      <c r="I31" s="37">
        <v>2</v>
      </c>
      <c r="J31" s="37">
        <f t="shared" si="13"/>
        <v>0.28571428571428575</v>
      </c>
      <c r="K31" s="37">
        <f>J31*Sheet1!$C$2</f>
        <v>0.11905714285714288</v>
      </c>
      <c r="M31" s="22" t="s">
        <v>195</v>
      </c>
      <c r="O31" t="s">
        <v>243</v>
      </c>
      <c r="P31" t="s">
        <v>244</v>
      </c>
      <c r="Q31" s="44">
        <v>0.16666666666666669</v>
      </c>
      <c r="R31" s="22">
        <v>3</v>
      </c>
      <c r="S31" s="27">
        <f t="shared" si="14"/>
        <v>0.5</v>
      </c>
      <c r="T31" s="27">
        <f>S31*Sheet1!$C$3</f>
        <v>0.16664999999999999</v>
      </c>
      <c r="U31" s="2" t="s">
        <v>78</v>
      </c>
      <c r="X31" s="22"/>
      <c r="Y31" s="22" t="s">
        <v>165</v>
      </c>
      <c r="Z31" s="22"/>
      <c r="AA31" s="2" t="s">
        <v>115</v>
      </c>
      <c r="AB31" s="2" t="s">
        <v>116</v>
      </c>
      <c r="AC31" s="44">
        <v>0.16666666666666669</v>
      </c>
      <c r="AD31" s="22">
        <v>3</v>
      </c>
      <c r="AE31" s="19">
        <f t="shared" si="15"/>
        <v>0.5</v>
      </c>
      <c r="AF31">
        <f>AE31*Sheet1!$C$4</f>
        <v>0.125</v>
      </c>
    </row>
    <row r="32" spans="1:32">
      <c r="B32" t="s">
        <v>157</v>
      </c>
      <c r="D32" s="3">
        <v>478418</v>
      </c>
      <c r="E32" s="3">
        <v>456540</v>
      </c>
      <c r="F32" s="8">
        <f t="shared" si="12"/>
        <v>467479</v>
      </c>
      <c r="G32" s="44">
        <v>0.14285714285714288</v>
      </c>
      <c r="H32" s="30"/>
      <c r="I32" s="37">
        <v>2.5</v>
      </c>
      <c r="J32" s="37">
        <f t="shared" si="13"/>
        <v>0.35714285714285721</v>
      </c>
      <c r="K32" s="37">
        <f>J32*Sheet1!$C$2</f>
        <v>0.1488214285714286</v>
      </c>
      <c r="M32" s="11" t="s">
        <v>196</v>
      </c>
      <c r="O32" t="s">
        <v>245</v>
      </c>
      <c r="P32" t="s">
        <v>246</v>
      </c>
      <c r="Q32" s="44">
        <v>0.16666666666666669</v>
      </c>
      <c r="R32" s="22">
        <v>3</v>
      </c>
      <c r="S32" s="27">
        <f t="shared" si="14"/>
        <v>0.5</v>
      </c>
      <c r="T32" s="27">
        <f>S32*Sheet1!$C$3</f>
        <v>0.16664999999999999</v>
      </c>
      <c r="U32" s="2" t="s">
        <v>82</v>
      </c>
      <c r="X32" s="22"/>
      <c r="Y32" s="22" t="s">
        <v>166</v>
      </c>
      <c r="Z32" s="22"/>
      <c r="AA32" s="2">
        <v>15</v>
      </c>
      <c r="AB32" s="2">
        <v>7</v>
      </c>
      <c r="AC32" s="44">
        <v>0.16666666666666669</v>
      </c>
      <c r="AD32" s="22">
        <v>1</v>
      </c>
      <c r="AE32" s="19">
        <f t="shared" si="15"/>
        <v>0.16666666666666669</v>
      </c>
      <c r="AF32">
        <f>AE32*Sheet1!$C$4</f>
        <v>4.1666666666666671E-2</v>
      </c>
    </row>
    <row r="33" spans="2:32">
      <c r="B33" t="s">
        <v>158</v>
      </c>
      <c r="D33" s="3">
        <v>1899</v>
      </c>
      <c r="E33" s="3">
        <v>2480</v>
      </c>
      <c r="F33" s="8">
        <f t="shared" si="12"/>
        <v>2189.5</v>
      </c>
      <c r="G33" s="44">
        <v>0.14285714285714288</v>
      </c>
      <c r="H33" s="30"/>
      <c r="I33" s="37">
        <v>3.5</v>
      </c>
      <c r="J33" s="37">
        <f t="shared" si="13"/>
        <v>0.50000000000000011</v>
      </c>
      <c r="K33" s="37">
        <f>J33*Sheet1!$C$2</f>
        <v>0.20835000000000006</v>
      </c>
      <c r="Q33" s="38">
        <f>SUM(Q27:Q32)</f>
        <v>1.0000000000000002</v>
      </c>
      <c r="R33" s="36">
        <f>SUM(R27:R32)/6</f>
        <v>2.4166666666666665</v>
      </c>
      <c r="S33" s="36">
        <f>SUM(S27:S32)</f>
        <v>2.416666666666667</v>
      </c>
      <c r="T33" s="36">
        <f>S33*Sheet1!C3</f>
        <v>0.80547500000000005</v>
      </c>
      <c r="U33" t="s">
        <v>160</v>
      </c>
      <c r="V33" t="s">
        <v>160</v>
      </c>
      <c r="X33" s="22"/>
      <c r="Y33" s="22" t="s">
        <v>167</v>
      </c>
      <c r="Z33" s="22"/>
      <c r="AA33" s="40">
        <v>12842738</v>
      </c>
      <c r="AB33" s="40">
        <v>14761269</v>
      </c>
      <c r="AC33" s="44">
        <v>0.16666666666666699</v>
      </c>
      <c r="AD33" s="22">
        <v>3</v>
      </c>
      <c r="AE33" s="19">
        <f>AC33*AD33</f>
        <v>0.500000000000001</v>
      </c>
      <c r="AF33">
        <f>AE33*Sheet1!$C$4</f>
        <v>0.12500000000000025</v>
      </c>
    </row>
    <row r="34" spans="2:32">
      <c r="I34" s="36">
        <f>SUM(I27:I33)</f>
        <v>17</v>
      </c>
      <c r="J34" s="36">
        <f>SUM(J27:J33)</f>
        <v>2.4285714285714288</v>
      </c>
      <c r="K34" s="36">
        <f>J34*Sheet1!C2</f>
        <v>1.0119857142857145</v>
      </c>
      <c r="N34" t="s">
        <v>160</v>
      </c>
      <c r="AD34" s="35">
        <f>SUM(AD28:AD33)/6</f>
        <v>2.5833333333333335</v>
      </c>
      <c r="AE34" s="35">
        <f>SUM(AE28:AE33)</f>
        <v>2.5833333333333344</v>
      </c>
      <c r="AF34" s="35">
        <f>AE34*Sheet1!C4</f>
        <v>0.64583333333333359</v>
      </c>
    </row>
    <row r="35" spans="2:32">
      <c r="N35" t="s">
        <v>160</v>
      </c>
      <c r="O35" s="2"/>
      <c r="P35" s="2"/>
    </row>
    <row r="36" spans="2:32">
      <c r="O36" s="2"/>
      <c r="P36" s="2"/>
    </row>
    <row r="37" spans="2:32">
      <c r="O37" t="s">
        <v>160</v>
      </c>
      <c r="P37" t="s">
        <v>160</v>
      </c>
    </row>
    <row r="41" spans="2:32">
      <c r="B41" t="s">
        <v>256</v>
      </c>
      <c r="C41" t="s">
        <v>257</v>
      </c>
      <c r="D41" t="s">
        <v>258</v>
      </c>
      <c r="E41" t="s">
        <v>259</v>
      </c>
      <c r="F41" t="s">
        <v>260</v>
      </c>
    </row>
    <row r="42" spans="2:32">
      <c r="B42" t="str">
        <f>A2</f>
        <v>BLUEDART</v>
      </c>
      <c r="C42" s="19">
        <f>K10</f>
        <v>1.3393928571428575</v>
      </c>
      <c r="D42" s="18">
        <f>T9</f>
        <v>0.99990000000000012</v>
      </c>
      <c r="E42" s="19">
        <f>AF9</f>
        <v>0.72916666666666674</v>
      </c>
      <c r="F42" s="18">
        <f>SUM(C42:E42)</f>
        <v>3.0684595238095245</v>
      </c>
    </row>
    <row r="43" spans="2:32">
      <c r="B43" t="str">
        <f>A11</f>
        <v>VRL</v>
      </c>
      <c r="C43" s="19">
        <f>K18</f>
        <v>1.0119857142857145</v>
      </c>
      <c r="D43" s="18">
        <f>T17</f>
        <v>0.63882500000000009</v>
      </c>
      <c r="E43" s="19">
        <f>AF17</f>
        <v>0.66666666666666663</v>
      </c>
      <c r="F43" s="18">
        <f>SUM(C43:E43)</f>
        <v>2.317477380952381</v>
      </c>
    </row>
    <row r="44" spans="2:32">
      <c r="B44" t="str">
        <f>A19</f>
        <v>ALLCARGO</v>
      </c>
      <c r="C44" s="19">
        <f>K25</f>
        <v>0.77387142857142865</v>
      </c>
      <c r="D44" s="18">
        <f>T25</f>
        <v>1.2221</v>
      </c>
      <c r="E44" s="19">
        <f>AF26</f>
        <v>0.72916666666666674</v>
      </c>
      <c r="F44" s="18">
        <f t="shared" ref="F44:F45" si="16">SUM(C44:E44)</f>
        <v>2.725138095238095</v>
      </c>
    </row>
    <row r="45" spans="2:32">
      <c r="B45" t="str">
        <f>A27</f>
        <v xml:space="preserve">DELHIVERY </v>
      </c>
      <c r="C45" s="19">
        <f>K34</f>
        <v>1.0119857142857145</v>
      </c>
      <c r="D45" s="18">
        <f>T33</f>
        <v>0.80547500000000005</v>
      </c>
      <c r="E45" s="19">
        <f>AF34</f>
        <v>0.64583333333333359</v>
      </c>
      <c r="F45" s="18">
        <f t="shared" si="16"/>
        <v>2.4632940476190481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workbookViewId="0">
      <selection activeCell="C3" sqref="C3"/>
    </sheetView>
  </sheetViews>
  <sheetFormatPr defaultRowHeight="14.25"/>
  <cols>
    <col min="2" max="2" width="12" bestFit="1" customWidth="1"/>
  </cols>
  <sheetData>
    <row r="1" spans="2:7">
      <c r="B1" t="s">
        <v>247</v>
      </c>
    </row>
    <row r="2" spans="2:7">
      <c r="B2" t="s">
        <v>248</v>
      </c>
      <c r="C2" s="41">
        <v>0.41670000000000001</v>
      </c>
    </row>
    <row r="3" spans="2:7">
      <c r="B3" t="s">
        <v>249</v>
      </c>
      <c r="C3" s="41">
        <v>0.33329999999999999</v>
      </c>
    </row>
    <row r="4" spans="2:7">
      <c r="B4" t="s">
        <v>250</v>
      </c>
      <c r="C4" s="41">
        <v>0.25</v>
      </c>
    </row>
    <row r="5" spans="2:7">
      <c r="C5" s="42">
        <f>SUM(C2:C4)</f>
        <v>1</v>
      </c>
    </row>
    <row r="7" spans="2:7">
      <c r="E7" t="s">
        <v>261</v>
      </c>
      <c r="G7">
        <f>100/7</f>
        <v>14.285714285714286</v>
      </c>
    </row>
    <row r="8" spans="2:7">
      <c r="G8" s="43">
        <f>G7/100</f>
        <v>0.14285714285714288</v>
      </c>
    </row>
    <row r="9" spans="2:7">
      <c r="E9" t="s">
        <v>249</v>
      </c>
      <c r="G9">
        <f>100/6</f>
        <v>16.666666666666668</v>
      </c>
    </row>
    <row r="10" spans="2:7">
      <c r="G10" s="43">
        <f>G9/100</f>
        <v>0.16666666666666669</v>
      </c>
    </row>
    <row r="11" spans="2:7">
      <c r="E11" t="s">
        <v>24</v>
      </c>
      <c r="G11">
        <f>100/6</f>
        <v>16.666666666666668</v>
      </c>
    </row>
    <row r="12" spans="2:7">
      <c r="G12" s="43">
        <f>G11/100</f>
        <v>0.16666666666666669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I20" sqref="I20"/>
    </sheetView>
  </sheetViews>
  <sheetFormatPr defaultRowHeight="14.25"/>
  <cols>
    <col min="1" max="1" width="4.53125" bestFit="1" customWidth="1"/>
    <col min="2" max="2" width="17.6640625" bestFit="1" customWidth="1"/>
    <col min="3" max="3" width="12.59765625" bestFit="1" customWidth="1"/>
    <col min="4" max="4" width="14.19921875" bestFit="1" customWidth="1"/>
    <col min="5" max="5" width="12.46484375" bestFit="1" customWidth="1"/>
    <col min="6" max="6" width="10.796875" bestFit="1" customWidth="1"/>
    <col min="8" max="8" width="4.53125" bestFit="1" customWidth="1"/>
    <col min="9" max="9" width="17.6640625" bestFit="1" customWidth="1"/>
    <col min="10" max="10" width="12.59765625" bestFit="1" customWidth="1"/>
    <col min="11" max="11" width="14.19921875" bestFit="1" customWidth="1"/>
    <col min="12" max="12" width="12.46484375" bestFit="1" customWidth="1"/>
  </cols>
  <sheetData>
    <row r="1" spans="1:13">
      <c r="A1" s="47" t="s">
        <v>262</v>
      </c>
      <c r="B1" s="47" t="s">
        <v>263</v>
      </c>
      <c r="C1" s="47" t="s">
        <v>264</v>
      </c>
      <c r="D1" s="47" t="s">
        <v>265</v>
      </c>
      <c r="E1" s="47" t="s">
        <v>266</v>
      </c>
      <c r="F1" s="47" t="s">
        <v>267</v>
      </c>
      <c r="G1" s="47"/>
      <c r="H1" s="47" t="s">
        <v>262</v>
      </c>
      <c r="I1" s="47" t="s">
        <v>263</v>
      </c>
      <c r="J1" s="47" t="s">
        <v>264</v>
      </c>
      <c r="K1" s="47" t="s">
        <v>265</v>
      </c>
      <c r="L1" s="47" t="s">
        <v>266</v>
      </c>
      <c r="M1" s="47" t="s">
        <v>268</v>
      </c>
    </row>
    <row r="2" spans="1:13">
      <c r="A2" s="47" t="s">
        <v>269</v>
      </c>
      <c r="B2" s="47" t="s">
        <v>270</v>
      </c>
      <c r="C2" s="51">
        <f>33/100</f>
        <v>0.33</v>
      </c>
      <c r="D2" s="49">
        <f>36.82/100</f>
        <v>0.36820000000000003</v>
      </c>
      <c r="E2" s="49">
        <f>33.24/100</f>
        <v>0.33240000000000003</v>
      </c>
      <c r="F2" s="47"/>
      <c r="G2" s="47"/>
      <c r="H2" s="47" t="s">
        <v>269</v>
      </c>
      <c r="I2" s="47" t="s">
        <v>270</v>
      </c>
      <c r="J2" s="50">
        <f>30.72/100</f>
        <v>0.30719999999999997</v>
      </c>
      <c r="K2" s="50">
        <f>8.81/100</f>
        <v>8.8100000000000012E-2</v>
      </c>
      <c r="L2" s="50">
        <f>30.72/100</f>
        <v>0.30719999999999997</v>
      </c>
      <c r="M2" s="47"/>
    </row>
    <row r="3" spans="1:13">
      <c r="A3" s="47" t="s">
        <v>271</v>
      </c>
      <c r="B3" s="47" t="s">
        <v>270</v>
      </c>
      <c r="C3" s="49">
        <f>41.93/100</f>
        <v>0.41930000000000001</v>
      </c>
      <c r="D3" s="49">
        <f>43.26/100</f>
        <v>0.43259999999999998</v>
      </c>
      <c r="E3" s="49">
        <f>42.02/100</f>
        <v>0.42020000000000002</v>
      </c>
      <c r="F3" s="47"/>
      <c r="G3" s="47"/>
      <c r="H3" s="47" t="s">
        <v>271</v>
      </c>
      <c r="I3" s="47" t="s">
        <v>270</v>
      </c>
      <c r="J3" s="50">
        <f>34.3/100</f>
        <v>0.34299999999999997</v>
      </c>
      <c r="K3" s="50">
        <f>9.61/100</f>
        <v>9.6099999999999991E-2</v>
      </c>
      <c r="L3" s="50">
        <f>34.3/100</f>
        <v>0.34299999999999997</v>
      </c>
      <c r="M3" s="47"/>
    </row>
    <row r="4" spans="1:13">
      <c r="A4" s="47" t="s">
        <v>272</v>
      </c>
      <c r="B4" s="47" t="s">
        <v>270</v>
      </c>
      <c r="C4" s="49">
        <f>35.69/100</f>
        <v>0.3569</v>
      </c>
      <c r="D4" s="49">
        <f>45.15/100</f>
        <v>0.45150000000000001</v>
      </c>
      <c r="E4" s="49">
        <f>36.36/100</f>
        <v>0.36359999999999998</v>
      </c>
      <c r="F4" s="47"/>
      <c r="G4" s="47"/>
      <c r="H4" s="47" t="s">
        <v>272</v>
      </c>
      <c r="I4" s="47" t="s">
        <v>270</v>
      </c>
      <c r="J4" s="50">
        <f>40.8/100</f>
        <v>0.40799999999999997</v>
      </c>
      <c r="K4" s="50">
        <f>15.41/100</f>
        <v>0.15410000000000001</v>
      </c>
      <c r="L4" s="50">
        <f>40.8/100</f>
        <v>0.40799999999999997</v>
      </c>
      <c r="M4" s="47"/>
    </row>
    <row r="5" spans="1:13">
      <c r="A5" s="47"/>
      <c r="B5" s="47"/>
      <c r="C5" s="47"/>
      <c r="D5" s="47"/>
      <c r="E5" s="48">
        <f>SUM(E2:E4)/3</f>
        <v>0.37206666666666671</v>
      </c>
      <c r="F5" s="47"/>
      <c r="G5" s="47"/>
      <c r="H5" s="47"/>
      <c r="I5" s="47"/>
      <c r="J5" s="50"/>
      <c r="K5" s="50"/>
      <c r="L5" s="50">
        <f>SUM(L2:L4)/3</f>
        <v>0.35273333333333329</v>
      </c>
      <c r="M5" s="47"/>
    </row>
    <row r="6" spans="1:13">
      <c r="A6" s="47" t="s">
        <v>262</v>
      </c>
      <c r="B6" s="47" t="s">
        <v>263</v>
      </c>
      <c r="C6" s="47" t="s">
        <v>264</v>
      </c>
      <c r="D6" s="47" t="s">
        <v>265</v>
      </c>
      <c r="E6" s="47" t="s">
        <v>266</v>
      </c>
      <c r="F6" s="47"/>
      <c r="G6" s="47"/>
      <c r="H6" s="47" t="s">
        <v>262</v>
      </c>
      <c r="I6" s="47" t="s">
        <v>263</v>
      </c>
      <c r="J6" s="47" t="s">
        <v>264</v>
      </c>
      <c r="K6" s="47" t="s">
        <v>265</v>
      </c>
      <c r="L6" s="47" t="s">
        <v>266</v>
      </c>
      <c r="M6" s="47" t="s">
        <v>275</v>
      </c>
    </row>
    <row r="7" spans="1:13">
      <c r="A7" s="47" t="s">
        <v>269</v>
      </c>
      <c r="B7" s="47" t="s">
        <v>273</v>
      </c>
      <c r="C7" s="50">
        <f>30.55/100</f>
        <v>0.30549999999999999</v>
      </c>
      <c r="D7" s="50">
        <f>18.51/100</f>
        <v>0.18510000000000001</v>
      </c>
      <c r="E7" s="50">
        <f>30.26/100</f>
        <v>0.30260000000000004</v>
      </c>
      <c r="F7" s="50">
        <f>E2+E7</f>
        <v>0.63500000000000001</v>
      </c>
      <c r="G7" s="47"/>
      <c r="H7" s="47" t="s">
        <v>269</v>
      </c>
      <c r="I7" s="47" t="s">
        <v>270</v>
      </c>
      <c r="J7" s="50">
        <f>4/100</f>
        <v>0.04</v>
      </c>
      <c r="K7" s="50">
        <f>6/100</f>
        <v>0.06</v>
      </c>
      <c r="L7" s="50">
        <f>4.3/100</f>
        <v>4.2999999999999997E-2</v>
      </c>
      <c r="M7" s="47"/>
    </row>
    <row r="8" spans="1:13">
      <c r="A8" s="47" t="s">
        <v>271</v>
      </c>
      <c r="B8" s="47" t="s">
        <v>273</v>
      </c>
      <c r="C8" s="50">
        <f>31.75/100</f>
        <v>0.3175</v>
      </c>
      <c r="D8" s="50">
        <f>56.49/100</f>
        <v>0.56490000000000007</v>
      </c>
      <c r="E8" s="50">
        <f>31.91/100</f>
        <v>0.31909999999999999</v>
      </c>
      <c r="F8" s="50">
        <f>E3+E8</f>
        <v>0.73930000000000007</v>
      </c>
      <c r="G8" s="47"/>
      <c r="H8" s="47" t="s">
        <v>271</v>
      </c>
      <c r="I8" s="47" t="s">
        <v>270</v>
      </c>
      <c r="J8" s="50">
        <f>6/100</f>
        <v>0.06</v>
      </c>
      <c r="K8" s="50">
        <f>5/100</f>
        <v>0.05</v>
      </c>
      <c r="L8" s="50">
        <f>6/100</f>
        <v>0.06</v>
      </c>
      <c r="M8" s="47"/>
    </row>
    <row r="9" spans="1:13">
      <c r="A9" s="47" t="s">
        <v>272</v>
      </c>
      <c r="B9" s="47" t="s">
        <v>273</v>
      </c>
      <c r="C9" s="50">
        <f>32.02/100</f>
        <v>0.32020000000000004</v>
      </c>
      <c r="D9" s="50">
        <f>33.82/100</f>
        <v>0.3382</v>
      </c>
      <c r="E9" s="50">
        <f>32.24/100</f>
        <v>0.32240000000000002</v>
      </c>
      <c r="F9" s="50">
        <f>E4+E9</f>
        <v>0.68599999999999994</v>
      </c>
      <c r="G9" s="47"/>
      <c r="H9" s="47" t="s">
        <v>272</v>
      </c>
      <c r="I9" s="47" t="s">
        <v>270</v>
      </c>
      <c r="J9" s="50">
        <f>18/100</f>
        <v>0.18</v>
      </c>
      <c r="K9" s="50">
        <f>19/100</f>
        <v>0.19</v>
      </c>
      <c r="L9" s="50">
        <f>18/100</f>
        <v>0.18</v>
      </c>
      <c r="M9" s="47"/>
    </row>
    <row r="10" spans="1:13">
      <c r="A10" s="47"/>
      <c r="B10" s="47"/>
      <c r="C10" s="47"/>
      <c r="D10" s="50"/>
      <c r="E10" s="50">
        <f>SUM(E7:E9)/3</f>
        <v>0.31470000000000004</v>
      </c>
      <c r="F10" s="50"/>
      <c r="G10" s="47"/>
      <c r="H10" s="47"/>
      <c r="I10" s="47"/>
      <c r="J10" s="50"/>
      <c r="K10" s="50"/>
      <c r="L10" s="50">
        <f>SUM(L7:L9)/3</f>
        <v>9.4333333333333325E-2</v>
      </c>
      <c r="M10" s="47"/>
    </row>
    <row r="11" spans="1:13">
      <c r="A11" s="47" t="s">
        <v>262</v>
      </c>
      <c r="B11" s="47" t="s">
        <v>263</v>
      </c>
      <c r="C11" s="47" t="s">
        <v>264</v>
      </c>
      <c r="D11" s="47" t="s">
        <v>265</v>
      </c>
      <c r="E11" s="47" t="s">
        <v>266</v>
      </c>
      <c r="F11" s="47" t="s">
        <v>274</v>
      </c>
      <c r="G11" s="47"/>
      <c r="H11" s="47"/>
      <c r="I11" s="47"/>
      <c r="J11" s="47"/>
      <c r="K11" s="47"/>
      <c r="L11" s="47"/>
      <c r="M11" s="47"/>
    </row>
    <row r="12" spans="1:13">
      <c r="A12" s="47" t="s">
        <v>269</v>
      </c>
      <c r="B12" s="47" t="s">
        <v>270</v>
      </c>
      <c r="C12" s="52">
        <f>12.32/100</f>
        <v>0.1232</v>
      </c>
      <c r="D12" s="52">
        <f>16.35/100</f>
        <v>0.16350000000000001</v>
      </c>
      <c r="E12" s="52">
        <f>14.34/100</f>
        <v>0.1434</v>
      </c>
      <c r="F12" s="47"/>
      <c r="G12" s="47"/>
      <c r="H12" s="47"/>
      <c r="I12" s="48">
        <f>(E5+E15+L5+L10)/4</f>
        <v>0.24015000000000003</v>
      </c>
      <c r="J12" s="47" t="s">
        <v>276</v>
      </c>
      <c r="K12" s="47"/>
      <c r="L12" s="47"/>
      <c r="M12" s="47"/>
    </row>
    <row r="13" spans="1:13">
      <c r="A13" s="47" t="s">
        <v>271</v>
      </c>
      <c r="B13" s="47" t="s">
        <v>270</v>
      </c>
      <c r="C13" s="52">
        <f>11.57/100</f>
        <v>0.1157</v>
      </c>
      <c r="D13" s="52">
        <f>16.42/100</f>
        <v>0.16420000000000001</v>
      </c>
      <c r="E13" s="52">
        <f>13.99/100</f>
        <v>0.1399</v>
      </c>
      <c r="F13" s="47"/>
      <c r="G13" s="47"/>
      <c r="H13" s="47" t="s">
        <v>160</v>
      </c>
      <c r="I13" s="48">
        <f>(E10+E20+L5+L10)/4</f>
        <v>0.22500833333333331</v>
      </c>
      <c r="J13" s="47" t="s">
        <v>277</v>
      </c>
      <c r="K13" s="47"/>
      <c r="L13" s="47"/>
      <c r="M13" s="47"/>
    </row>
    <row r="14" spans="1:13">
      <c r="A14" s="47" t="s">
        <v>272</v>
      </c>
      <c r="B14" s="47" t="s">
        <v>270</v>
      </c>
      <c r="C14" s="52">
        <f>12.06/100</f>
        <v>0.1206</v>
      </c>
      <c r="D14" s="52">
        <f>16.17/100</f>
        <v>0.16170000000000001</v>
      </c>
      <c r="E14" s="52">
        <f>14.11/100</f>
        <v>0.1411</v>
      </c>
      <c r="F14" s="47"/>
      <c r="G14" s="47"/>
      <c r="H14" s="48"/>
      <c r="I14" s="48"/>
      <c r="J14" s="47"/>
      <c r="K14" s="47"/>
      <c r="L14" s="47"/>
      <c r="M14" s="47"/>
    </row>
    <row r="15" spans="1:13">
      <c r="A15" s="47"/>
      <c r="B15" s="47"/>
      <c r="C15" s="52"/>
      <c r="D15" s="52"/>
      <c r="E15" s="52">
        <f>SUM(E12:E14)/3</f>
        <v>0.14146666666666666</v>
      </c>
      <c r="F15" s="47"/>
      <c r="G15" s="47"/>
      <c r="H15" s="47"/>
      <c r="I15" s="47"/>
      <c r="J15" s="47"/>
      <c r="K15" s="47"/>
      <c r="L15" s="47"/>
      <c r="M15" s="47"/>
    </row>
    <row r="16" spans="1:13">
      <c r="A16" s="47" t="s">
        <v>262</v>
      </c>
      <c r="B16" s="47" t="s">
        <v>263</v>
      </c>
      <c r="C16" s="47" t="s">
        <v>264</v>
      </c>
      <c r="D16" s="47" t="s">
        <v>265</v>
      </c>
      <c r="E16" s="47" t="s">
        <v>266</v>
      </c>
      <c r="F16" s="47"/>
      <c r="G16" s="47"/>
      <c r="H16" s="47"/>
      <c r="I16" s="48">
        <f>(E4-E3)/E3</f>
        <v>-0.13469776297001437</v>
      </c>
      <c r="J16" s="48">
        <f>(C3-C2)/C2</f>
        <v>0.27060606060606057</v>
      </c>
      <c r="K16" s="47"/>
      <c r="L16" s="47"/>
      <c r="M16" s="47"/>
    </row>
    <row r="17" spans="1:13">
      <c r="A17" s="47" t="s">
        <v>269</v>
      </c>
      <c r="B17" s="47" t="s">
        <v>273</v>
      </c>
      <c r="C17" s="52">
        <f>12.08/100</f>
        <v>0.1208</v>
      </c>
      <c r="D17" s="52">
        <f>14.29/100</f>
        <v>0.1429</v>
      </c>
      <c r="E17" s="52">
        <f>13.19/100</f>
        <v>0.13189999999999999</v>
      </c>
      <c r="F17" s="52">
        <f>E12+E17</f>
        <v>0.27529999999999999</v>
      </c>
      <c r="G17" s="47"/>
      <c r="H17" s="47"/>
      <c r="I17" s="48">
        <f>(E3-E2)/E2</f>
        <v>0.26413959085439226</v>
      </c>
      <c r="J17" s="47"/>
      <c r="K17" s="47"/>
      <c r="L17" s="47"/>
      <c r="M17" s="47"/>
    </row>
    <row r="18" spans="1:13">
      <c r="A18" s="47" t="s">
        <v>271</v>
      </c>
      <c r="B18" s="47" t="s">
        <v>273</v>
      </c>
      <c r="C18" s="52">
        <f>12.45/100</f>
        <v>0.1245</v>
      </c>
      <c r="D18" s="52">
        <f>16.06/100</f>
        <v>0.16059999999999999</v>
      </c>
      <c r="E18" s="52">
        <f>14.25/100</f>
        <v>0.14249999999999999</v>
      </c>
      <c r="F18" s="52">
        <f>E13+E18</f>
        <v>0.28239999999999998</v>
      </c>
      <c r="G18" s="47"/>
      <c r="H18" s="47"/>
      <c r="I18" s="47"/>
      <c r="J18" s="47"/>
      <c r="K18" s="47"/>
      <c r="L18" s="47"/>
      <c r="M18" s="47"/>
    </row>
    <row r="19" spans="1:13">
      <c r="A19" s="47" t="s">
        <v>272</v>
      </c>
      <c r="B19" s="47" t="s">
        <v>273</v>
      </c>
      <c r="C19" s="52">
        <f>12.88/100</f>
        <v>0.1288</v>
      </c>
      <c r="D19" s="52">
        <f>15.21/100</f>
        <v>0.15210000000000001</v>
      </c>
      <c r="E19" s="52">
        <f>14.04/100</f>
        <v>0.1404</v>
      </c>
      <c r="F19" s="52">
        <f>E14+E19</f>
        <v>0.28149999999999997</v>
      </c>
      <c r="G19" s="47"/>
      <c r="H19" s="47"/>
      <c r="I19" s="49">
        <f>E12+E17</f>
        <v>0.27529999999999999</v>
      </c>
      <c r="J19" s="49">
        <f>E13+E18</f>
        <v>0.28239999999999998</v>
      </c>
      <c r="K19" s="49">
        <f>E14+E19</f>
        <v>0.28149999999999997</v>
      </c>
      <c r="L19" s="47"/>
      <c r="M19" s="47"/>
    </row>
    <row r="20" spans="1:13">
      <c r="A20" s="47"/>
      <c r="B20" s="47"/>
      <c r="C20" s="52"/>
      <c r="D20" s="52"/>
      <c r="E20" s="52">
        <f>SUM(E17:E19)/3</f>
        <v>0.13826666666666665</v>
      </c>
      <c r="F20" s="52"/>
      <c r="G20" s="47"/>
      <c r="H20" s="47"/>
      <c r="I20" s="49">
        <f>E2+E7</f>
        <v>0.63500000000000001</v>
      </c>
      <c r="J20" s="49">
        <f>E3+E8</f>
        <v>0.73930000000000007</v>
      </c>
      <c r="K20" s="49">
        <f>E4+E9</f>
        <v>0.68599999999999994</v>
      </c>
      <c r="L20" s="47"/>
      <c r="M20" s="47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4"/>
  <sheetViews>
    <sheetView topLeftCell="D1" workbookViewId="0">
      <selection activeCell="H20" sqref="H20"/>
    </sheetView>
  </sheetViews>
  <sheetFormatPr defaultRowHeight="14.25"/>
  <cols>
    <col min="3" max="3" width="42.1328125" bestFit="1" customWidth="1"/>
    <col min="4" max="4" width="11.06640625" bestFit="1" customWidth="1"/>
    <col min="7" max="7" width="14.06640625" bestFit="1" customWidth="1"/>
    <col min="8" max="8" width="21" bestFit="1" customWidth="1"/>
    <col min="9" max="9" width="13.59765625" bestFit="1" customWidth="1"/>
    <col min="10" max="10" width="10.9296875" bestFit="1" customWidth="1"/>
    <col min="11" max="11" width="12.53125" bestFit="1" customWidth="1"/>
    <col min="12" max="12" width="16.1328125" bestFit="1" customWidth="1"/>
  </cols>
  <sheetData>
    <row r="2" spans="2:12">
      <c r="B2" s="53" t="s">
        <v>280</v>
      </c>
      <c r="C2" s="53" t="s">
        <v>281</v>
      </c>
      <c r="D2" s="53" t="s">
        <v>282</v>
      </c>
      <c r="E2" s="53" t="s">
        <v>283</v>
      </c>
      <c r="G2" s="54" t="s">
        <v>284</v>
      </c>
      <c r="H2" s="55" t="s">
        <v>285</v>
      </c>
      <c r="I2" s="56" t="s">
        <v>286</v>
      </c>
      <c r="J2" s="56"/>
      <c r="K2" s="56"/>
      <c r="L2" s="56"/>
    </row>
    <row r="3" spans="2:12">
      <c r="B3" s="57" t="s">
        <v>162</v>
      </c>
      <c r="C3" s="58" t="s">
        <v>152</v>
      </c>
      <c r="D3" s="59">
        <v>16.670000000000002</v>
      </c>
      <c r="E3" s="58">
        <v>2.5</v>
      </c>
      <c r="G3" s="54"/>
      <c r="H3" s="55"/>
      <c r="I3" s="60" t="s">
        <v>162</v>
      </c>
      <c r="J3" s="60" t="s">
        <v>159</v>
      </c>
      <c r="K3" s="60" t="s">
        <v>161</v>
      </c>
      <c r="L3" s="60" t="s">
        <v>287</v>
      </c>
    </row>
    <row r="4" spans="2:12">
      <c r="B4" s="61"/>
      <c r="C4" s="58" t="s">
        <v>288</v>
      </c>
      <c r="D4" s="59">
        <v>16.670000000000002</v>
      </c>
      <c r="E4" s="58">
        <v>1.5</v>
      </c>
      <c r="G4" s="54"/>
      <c r="H4" s="53" t="s">
        <v>289</v>
      </c>
      <c r="I4" s="58">
        <v>3.21</v>
      </c>
      <c r="J4" s="58">
        <v>3.08</v>
      </c>
      <c r="K4" s="58">
        <v>2.92</v>
      </c>
      <c r="L4" s="58">
        <v>3.0960000000000001</v>
      </c>
    </row>
    <row r="5" spans="2:12">
      <c r="B5" s="61"/>
      <c r="C5" s="58" t="s">
        <v>290</v>
      </c>
      <c r="D5" s="59">
        <v>16.670000000000002</v>
      </c>
      <c r="E5" s="58">
        <v>3</v>
      </c>
      <c r="G5" s="54"/>
      <c r="H5" s="53" t="s">
        <v>291</v>
      </c>
      <c r="I5" s="58">
        <v>2.4300000000000002</v>
      </c>
      <c r="J5" s="58">
        <v>1.92</v>
      </c>
      <c r="K5" s="58">
        <v>2.67</v>
      </c>
      <c r="L5" s="58">
        <v>2.3170000000000002</v>
      </c>
    </row>
    <row r="6" spans="2:12">
      <c r="B6" s="61"/>
      <c r="C6" s="58" t="s">
        <v>292</v>
      </c>
      <c r="D6" s="59">
        <v>16.670000000000002</v>
      </c>
      <c r="E6" s="58">
        <v>2</v>
      </c>
      <c r="G6" s="54"/>
      <c r="H6" s="53" t="s">
        <v>293</v>
      </c>
      <c r="I6" s="58">
        <v>1.86</v>
      </c>
      <c r="J6" s="58">
        <v>3.67</v>
      </c>
      <c r="K6" s="58">
        <v>3.08</v>
      </c>
      <c r="L6" s="58">
        <v>2.7669999999999999</v>
      </c>
    </row>
    <row r="7" spans="2:12">
      <c r="B7" s="61"/>
      <c r="C7" s="58" t="s">
        <v>294</v>
      </c>
      <c r="D7" s="59">
        <v>16.66</v>
      </c>
      <c r="E7" s="58">
        <v>2</v>
      </c>
      <c r="G7" s="54" t="s">
        <v>295</v>
      </c>
      <c r="H7" s="62"/>
      <c r="I7" s="63"/>
      <c r="J7" s="63"/>
      <c r="K7" s="63"/>
      <c r="L7" s="64"/>
    </row>
    <row r="8" spans="2:12">
      <c r="B8" s="61"/>
      <c r="C8" s="58" t="s">
        <v>157</v>
      </c>
      <c r="D8" s="65">
        <v>8.33</v>
      </c>
      <c r="E8" s="58">
        <v>2.5</v>
      </c>
      <c r="G8" s="54"/>
      <c r="H8" s="53" t="s">
        <v>296</v>
      </c>
      <c r="I8" s="59">
        <f>2.91/2</f>
        <v>1.4550000000000001</v>
      </c>
      <c r="J8" s="58">
        <f>2.8/2</f>
        <v>1.4</v>
      </c>
      <c r="K8" s="59">
        <f>7.07/2</f>
        <v>3.5350000000000001</v>
      </c>
      <c r="L8" s="59">
        <f>(I8*0.4167)+(J8*0.3333)+(K8*0.25)</f>
        <v>1.9566685000000001</v>
      </c>
    </row>
    <row r="9" spans="2:12">
      <c r="B9" s="61"/>
      <c r="C9" s="58" t="s">
        <v>158</v>
      </c>
      <c r="D9" s="65">
        <v>8.33</v>
      </c>
      <c r="E9" s="58">
        <v>3.5</v>
      </c>
      <c r="G9" s="54"/>
      <c r="H9" s="53" t="s">
        <v>297</v>
      </c>
      <c r="I9" s="59">
        <f>4.57/2</f>
        <v>2.2850000000000001</v>
      </c>
      <c r="J9" s="58">
        <f>2.5/2</f>
        <v>1.25</v>
      </c>
      <c r="K9" s="58">
        <f>7.9/2</f>
        <v>3.95</v>
      </c>
      <c r="L9" s="59">
        <f t="shared" ref="L9:L11" si="0">(I9*0.4167)+(J9*0.3333)+(K9*0.25)</f>
        <v>2.3562845000000001</v>
      </c>
    </row>
    <row r="10" spans="2:12">
      <c r="B10" s="66" t="s">
        <v>298</v>
      </c>
      <c r="C10" s="67"/>
      <c r="D10" s="68">
        <v>2.4300000000000002</v>
      </c>
      <c r="E10" s="69"/>
      <c r="G10" s="54"/>
      <c r="H10" s="53" t="s">
        <v>299</v>
      </c>
      <c r="I10" s="59">
        <f>5.83/2</f>
        <v>2.915</v>
      </c>
      <c r="J10" s="59">
        <f>3.69/2</f>
        <v>1.845</v>
      </c>
      <c r="K10" s="58">
        <f>7.9/2</f>
        <v>3.95</v>
      </c>
      <c r="L10" s="59">
        <f t="shared" si="0"/>
        <v>2.8171189999999999</v>
      </c>
    </row>
    <row r="11" spans="2:12">
      <c r="B11" s="57" t="s">
        <v>159</v>
      </c>
      <c r="C11" s="58" t="s">
        <v>316</v>
      </c>
      <c r="D11" s="70">
        <v>0.16669999999999999</v>
      </c>
      <c r="E11" s="58">
        <v>2.5</v>
      </c>
      <c r="G11" s="54"/>
      <c r="H11" s="53" t="s">
        <v>300</v>
      </c>
      <c r="I11" s="59">
        <f>4.69/2</f>
        <v>2.3450000000000002</v>
      </c>
      <c r="J11" s="59">
        <f>3.05/2</f>
        <v>1.5249999999999999</v>
      </c>
      <c r="K11" s="58">
        <f>5.16/2</f>
        <v>2.58</v>
      </c>
      <c r="L11" s="59">
        <f t="shared" si="0"/>
        <v>2.1304440000000002</v>
      </c>
    </row>
    <row r="12" spans="2:12">
      <c r="B12" s="61"/>
      <c r="C12" s="58" t="s">
        <v>301</v>
      </c>
      <c r="D12" s="70">
        <v>0.16669999999999999</v>
      </c>
      <c r="E12" s="58">
        <v>1</v>
      </c>
    </row>
    <row r="13" spans="2:12">
      <c r="B13" s="61"/>
      <c r="C13" s="58" t="s">
        <v>302</v>
      </c>
      <c r="D13" s="70">
        <v>0.16669999999999999</v>
      </c>
      <c r="E13" s="58">
        <v>1</v>
      </c>
      <c r="G13" s="19">
        <f>SUM(D3:D9)</f>
        <v>100</v>
      </c>
    </row>
    <row r="14" spans="2:12">
      <c r="B14" s="61"/>
      <c r="C14" s="58" t="s">
        <v>303</v>
      </c>
      <c r="D14" s="70">
        <v>0.16669999999999999</v>
      </c>
      <c r="E14" s="58">
        <v>3</v>
      </c>
    </row>
    <row r="15" spans="2:12">
      <c r="B15" s="61"/>
      <c r="C15" s="58" t="s">
        <v>304</v>
      </c>
      <c r="D15" s="70">
        <v>0.16669999999999999</v>
      </c>
      <c r="E15" s="58">
        <v>3</v>
      </c>
      <c r="H15" t="s">
        <v>305</v>
      </c>
      <c r="I15" t="s">
        <v>306</v>
      </c>
      <c r="J15" t="s">
        <v>307</v>
      </c>
    </row>
    <row r="16" spans="2:12">
      <c r="B16" s="71"/>
      <c r="C16" s="58" t="s">
        <v>308</v>
      </c>
      <c r="D16" s="70">
        <v>0.16669999999999999</v>
      </c>
      <c r="E16" s="58">
        <v>3</v>
      </c>
      <c r="G16" t="s">
        <v>257</v>
      </c>
      <c r="H16">
        <f>D10</f>
        <v>2.4300000000000002</v>
      </c>
      <c r="I16">
        <f>AVERAGE(I4:I6)</f>
        <v>2.5000000000000004</v>
      </c>
      <c r="J16" s="19">
        <f>AVERAGE(I8:I11)</f>
        <v>2.25</v>
      </c>
    </row>
    <row r="17" spans="2:10">
      <c r="B17" s="72" t="s">
        <v>309</v>
      </c>
      <c r="C17" s="73"/>
      <c r="D17" s="68">
        <v>2.42</v>
      </c>
      <c r="E17" s="69"/>
      <c r="G17" t="s">
        <v>258</v>
      </c>
      <c r="H17">
        <f>D17</f>
        <v>2.42</v>
      </c>
      <c r="I17">
        <f>AVERAGE(J4:J6)</f>
        <v>2.89</v>
      </c>
      <c r="J17">
        <f>AVERAGE(J8:J11)</f>
        <v>1.5049999999999999</v>
      </c>
    </row>
    <row r="18" spans="2:10">
      <c r="B18" s="57" t="s">
        <v>161</v>
      </c>
      <c r="C18" s="58" t="s">
        <v>163</v>
      </c>
      <c r="D18" s="70">
        <v>0.16669999999999999</v>
      </c>
      <c r="E18" s="58">
        <v>2</v>
      </c>
      <c r="G18" t="s">
        <v>259</v>
      </c>
      <c r="H18">
        <f>D24</f>
        <v>2.58</v>
      </c>
      <c r="I18">
        <f>AVERAGE(K4:K6)</f>
        <v>2.89</v>
      </c>
      <c r="J18" s="19">
        <f>AVERAGE(K8:K11)</f>
        <v>3.5037500000000001</v>
      </c>
    </row>
    <row r="19" spans="2:10">
      <c r="B19" s="61"/>
      <c r="C19" s="58" t="s">
        <v>310</v>
      </c>
      <c r="D19" s="70">
        <v>0.16669999999999999</v>
      </c>
      <c r="E19" s="58">
        <v>2.5</v>
      </c>
      <c r="G19" t="s">
        <v>311</v>
      </c>
      <c r="H19">
        <v>2.46</v>
      </c>
      <c r="I19" s="19">
        <f>AVERAGE(L4:L6)</f>
        <v>2.7266666666666666</v>
      </c>
      <c r="J19" s="19">
        <f>AVERAGE(L8:L11)</f>
        <v>2.3151290000000002</v>
      </c>
    </row>
    <row r="20" spans="2:10">
      <c r="B20" s="61"/>
      <c r="C20" s="58" t="s">
        <v>164</v>
      </c>
      <c r="D20" s="70">
        <v>0.16669999999999999</v>
      </c>
      <c r="E20" s="58">
        <v>3</v>
      </c>
    </row>
    <row r="21" spans="2:10">
      <c r="B21" s="61"/>
      <c r="C21" s="58" t="s">
        <v>312</v>
      </c>
      <c r="D21" s="70">
        <v>0.16669999999999999</v>
      </c>
      <c r="E21" s="58">
        <v>3</v>
      </c>
    </row>
    <row r="22" spans="2:10">
      <c r="B22" s="61"/>
      <c r="C22" s="58" t="s">
        <v>313</v>
      </c>
      <c r="D22" s="70">
        <v>0.16669999999999999</v>
      </c>
      <c r="E22" s="58">
        <v>1</v>
      </c>
    </row>
    <row r="23" spans="2:10">
      <c r="B23" s="71"/>
      <c r="C23" s="58" t="s">
        <v>314</v>
      </c>
      <c r="D23" s="70">
        <v>0.16669999999999999</v>
      </c>
      <c r="E23" s="58">
        <v>3</v>
      </c>
    </row>
    <row r="24" spans="2:10">
      <c r="B24" s="72" t="s">
        <v>315</v>
      </c>
      <c r="C24" s="73"/>
      <c r="D24" s="68">
        <v>2.58</v>
      </c>
      <c r="E24" s="69"/>
    </row>
  </sheetData>
  <mergeCells count="14">
    <mergeCell ref="B17:C17"/>
    <mergeCell ref="D17:E17"/>
    <mergeCell ref="B18:B23"/>
    <mergeCell ref="B24:C24"/>
    <mergeCell ref="D24:E24"/>
    <mergeCell ref="G2:G6"/>
    <mergeCell ref="H2:H3"/>
    <mergeCell ref="I2:L2"/>
    <mergeCell ref="B3:B9"/>
    <mergeCell ref="G7:G11"/>
    <mergeCell ref="H7:L7"/>
    <mergeCell ref="B10:C10"/>
    <mergeCell ref="D10:E10"/>
    <mergeCell ref="B11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Bluedart </vt:lpstr>
      <vt:lpstr> VRL </vt:lpstr>
      <vt:lpstr> Allcargo Gati</vt:lpstr>
      <vt:lpstr> DEL -SOCIAL </vt:lpstr>
      <vt:lpstr> DEL- GOV</vt:lpstr>
      <vt:lpstr> DEL- ENVI</vt:lpstr>
      <vt:lpstr> compiled 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2025-09-27T18:45:12Z</dcterms:created>
  <dcterms:modified xsi:type="dcterms:W3CDTF">2025-10-02T10:06:56Z</dcterms:modified>
</cp:coreProperties>
</file>